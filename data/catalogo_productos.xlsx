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aton-my.sharepoint.com/personal/arelycastillo_eaton_com/Documents/Documents/GitHub/Eaton/data/"/>
    </mc:Choice>
  </mc:AlternateContent>
  <xr:revisionPtr revIDLastSave="251" documentId="8_{FA424185-D530-44FF-BEF1-1D3F8B302D0F}" xr6:coauthVersionLast="47" xr6:coauthVersionMax="47" xr10:uidLastSave="{FC2FCA90-0A45-4B3D-A4E6-0B0A80A76808}"/>
  <bookViews>
    <workbookView xWindow="-120" yWindow="-120" windowWidth="29040" windowHeight="15720" firstSheet="8" activeTab="20" xr2:uid="{E356A83D-CAB3-4D69-8690-2DF2AB7B7938}"/>
  </bookViews>
  <sheets>
    <sheet name="Estructura" sheetId="9" r:id="rId1"/>
    <sheet name="1600 AMP" sheetId="11" r:id="rId2"/>
    <sheet name="Lista" sheetId="1" r:id="rId3"/>
    <sheet name="Transitorios" sheetId="26" r:id="rId4"/>
    <sheet name="Interruptores IZMX" sheetId="17" r:id="rId5"/>
    <sheet name="2000 AMP" sheetId="12" r:id="rId6"/>
    <sheet name="Puertas" sheetId="20" r:id="rId7"/>
    <sheet name="3200 AMP" sheetId="14" r:id="rId8"/>
    <sheet name="Derivados" sheetId="18" r:id="rId9"/>
    <sheet name="Tapas" sheetId="16" r:id="rId10"/>
    <sheet name="Kits" sheetId="13" r:id="rId11"/>
    <sheet name="BZM" sheetId="2" r:id="rId12"/>
    <sheet name="PDG" sheetId="3" r:id="rId13"/>
    <sheet name="J" sheetId="6" r:id="rId14"/>
    <sheet name="Conectores" sheetId="15" r:id="rId15"/>
    <sheet name="1200 AMP" sheetId="22" r:id="rId16"/>
    <sheet name="800 AMP" sheetId="23" r:id="rId17"/>
    <sheet name="600 AMP" sheetId="24" r:id="rId18"/>
    <sheet name="F" sheetId="5" r:id="rId19"/>
    <sheet name="SV" sheetId="19" r:id="rId20"/>
    <sheet name="K" sheetId="7" r:id="rId21"/>
    <sheet name="Medidores" sheetId="27" r:id="rId22"/>
    <sheet name="Sheet1" sheetId="28" r:id="rId23"/>
    <sheet name="L" sheetId="8" r:id="rId24"/>
  </sheets>
  <definedNames>
    <definedName name="_xlnm._FilterDatabase" localSheetId="11" hidden="1">BZM!$A$1:$I$45</definedName>
    <definedName name="_xlnm._FilterDatabase" localSheetId="14" hidden="1">Conectores!$A$1:$M$54</definedName>
    <definedName name="_xlnm._FilterDatabase" localSheetId="18" hidden="1">F!$A$1:$G$93</definedName>
    <definedName name="_xlnm._FilterDatabase" localSheetId="2" hidden="1">Lista!$A$1:$E$1</definedName>
    <definedName name="_xlnm._FilterDatabase" localSheetId="12" hidden="1">PDG!$A$1:$I$79</definedName>
  </definedNames>
  <calcPr calcId="191029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" i="17" l="1"/>
  <c r="G4" i="17"/>
  <c r="G5" i="17"/>
  <c r="G6" i="17"/>
  <c r="G7" i="17"/>
  <c r="G8" i="17"/>
  <c r="G9" i="17"/>
  <c r="G10" i="17"/>
  <c r="G11" i="17"/>
  <c r="G12" i="17"/>
  <c r="G13" i="17"/>
  <c r="G14" i="17"/>
  <c r="G2" i="17"/>
  <c r="E14" i="17"/>
  <c r="E13" i="17"/>
  <c r="E12" i="17"/>
  <c r="E11" i="17"/>
  <c r="E10" i="17"/>
  <c r="E9" i="17"/>
  <c r="E8" i="17"/>
  <c r="E7" i="17"/>
  <c r="E6" i="17"/>
  <c r="E5" i="17"/>
  <c r="E4" i="17"/>
  <c r="E3" i="17"/>
  <c r="E2" i="17"/>
  <c r="E3" i="26"/>
  <c r="E2" i="2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2" i="3"/>
  <c r="J3" i="2"/>
  <c r="J2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G3" i="19"/>
  <c r="G2" i="19"/>
  <c r="F2" i="24"/>
  <c r="F2" i="23"/>
  <c r="F2" i="22"/>
  <c r="N3" i="15"/>
  <c r="N4" i="15"/>
  <c r="N5" i="15"/>
  <c r="N6" i="15"/>
  <c r="N7" i="15"/>
  <c r="N8" i="15"/>
  <c r="N9" i="15"/>
  <c r="N10" i="15"/>
  <c r="N11" i="15"/>
  <c r="N12" i="15"/>
  <c r="N13" i="15"/>
  <c r="N14" i="15"/>
  <c r="N15" i="15"/>
  <c r="N16" i="15"/>
  <c r="N17" i="15"/>
  <c r="N18" i="15"/>
  <c r="N19" i="15"/>
  <c r="N20" i="15"/>
  <c r="N21" i="15"/>
  <c r="N22" i="15"/>
  <c r="N23" i="15"/>
  <c r="N24" i="15"/>
  <c r="N25" i="15"/>
  <c r="N26" i="15"/>
  <c r="N27" i="15"/>
  <c r="N28" i="15"/>
  <c r="N29" i="15"/>
  <c r="N30" i="15"/>
  <c r="N31" i="15"/>
  <c r="N32" i="15"/>
  <c r="N33" i="15"/>
  <c r="N34" i="15"/>
  <c r="N35" i="15"/>
  <c r="N36" i="15"/>
  <c r="N37" i="15"/>
  <c r="N38" i="15"/>
  <c r="N39" i="15"/>
  <c r="N40" i="15"/>
  <c r="N41" i="15"/>
  <c r="N42" i="15"/>
  <c r="N43" i="15"/>
  <c r="N44" i="15"/>
  <c r="N45" i="15"/>
  <c r="N46" i="15"/>
  <c r="N47" i="15"/>
  <c r="N48" i="15"/>
  <c r="N49" i="15"/>
  <c r="N50" i="15"/>
  <c r="N51" i="15"/>
  <c r="N52" i="15"/>
  <c r="N53" i="15"/>
  <c r="N54" i="15"/>
  <c r="N2" i="15"/>
  <c r="G3" i="13"/>
  <c r="G4" i="13"/>
  <c r="G5" i="13"/>
  <c r="G6" i="13"/>
  <c r="G7" i="13"/>
  <c r="G8" i="13"/>
  <c r="G9" i="13"/>
  <c r="G10" i="13"/>
  <c r="G2" i="13"/>
  <c r="G3" i="16"/>
  <c r="G4" i="16"/>
  <c r="G5" i="16"/>
  <c r="G6" i="16"/>
  <c r="G7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G34" i="16"/>
  <c r="G35" i="16"/>
  <c r="G36" i="16"/>
  <c r="G37" i="16"/>
  <c r="G2" i="16"/>
  <c r="G3" i="18"/>
  <c r="G4" i="18"/>
  <c r="G5" i="18"/>
  <c r="G2" i="18"/>
  <c r="H3" i="14"/>
  <c r="H4" i="14"/>
  <c r="H5" i="14"/>
  <c r="H6" i="14"/>
  <c r="H7" i="14"/>
  <c r="H2" i="14"/>
  <c r="F3" i="20"/>
  <c r="F2" i="20"/>
  <c r="H3" i="12"/>
  <c r="H4" i="12"/>
  <c r="H5" i="12"/>
  <c r="H6" i="12"/>
  <c r="H7" i="12"/>
  <c r="H2" i="12"/>
  <c r="I3" i="11"/>
  <c r="I4" i="11"/>
  <c r="I5" i="11"/>
  <c r="I6" i="11"/>
  <c r="I7" i="11"/>
  <c r="I8" i="11"/>
  <c r="I2" i="11"/>
  <c r="H3" i="9"/>
  <c r="H4" i="9"/>
  <c r="H5" i="9"/>
  <c r="H6" i="9"/>
  <c r="H7" i="9"/>
  <c r="H8" i="9"/>
  <c r="H9" i="9"/>
  <c r="H10" i="9"/>
  <c r="H2" i="9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2" i="1"/>
</calcChain>
</file>

<file path=xl/sharedStrings.xml><?xml version="1.0" encoding="utf-8"?>
<sst xmlns="http://schemas.openxmlformats.org/spreadsheetml/2006/main" count="4294872311" uniqueCount="765">
  <si>
    <t>Catalogo</t>
  </si>
  <si>
    <t>Descripcion</t>
  </si>
  <si>
    <t>Precio</t>
  </si>
  <si>
    <t>EDSEB1600</t>
  </si>
  <si>
    <t>EDS Estructura básica para 1600 NRX</t>
  </si>
  <si>
    <t>EDSMB1600</t>
  </si>
  <si>
    <t>EDS kit para ensamble Interruptor Principal 1600</t>
  </si>
  <si>
    <t>EDSML1600</t>
  </si>
  <si>
    <t>EDS kit para ensamble Zapatas Principales 1600</t>
  </si>
  <si>
    <t>EDSPINF</t>
  </si>
  <si>
    <t>EDS puerta Inferior</t>
  </si>
  <si>
    <t>EDSPSUP</t>
  </si>
  <si>
    <t>EDS puerta Superior</t>
  </si>
  <si>
    <t>EDSKSNCZ16KA</t>
  </si>
  <si>
    <t>KIT DE SENSOR NEUTRO 1600A C/ZAPATAS MECANICAS 500MCM</t>
  </si>
  <si>
    <t>EDSIQKIT</t>
  </si>
  <si>
    <t>EDS Kit para medición IQ110</t>
  </si>
  <si>
    <t>EDS20SV36D</t>
  </si>
  <si>
    <t>EDS SECCIÓN VACIA PARA 2000A FRENTE 36 POR 36 DE FONDO</t>
  </si>
  <si>
    <t>EDSIZMBLC16R</t>
  </si>
  <si>
    <t>EDS KIT DE LINEA Y CARGA INT IZMX16 M/R, ENTRA Y SALIDA</t>
  </si>
  <si>
    <t>EDSIZM16PMR</t>
  </si>
  <si>
    <t>EDS, PUERTA P/ INT IZMX16 M/R</t>
  </si>
  <si>
    <t>EDSCUBC36</t>
  </si>
  <si>
    <t>EDS, CUBIERTA CIEGA 36 DE FRENTE</t>
  </si>
  <si>
    <t>EDSKBNCZ16KA</t>
  </si>
  <si>
    <t>KIT DE BUS NEUTRO 1600A C/ZAPATAS MECANICAS 500MCM</t>
  </si>
  <si>
    <t>K1PRL4BZT13PD</t>
  </si>
  <si>
    <t>Kit de Conectores 3 polos BZM hasta 50A, Tamaño 1 Doble</t>
  </si>
  <si>
    <t>K2PRL4BZT13PD</t>
  </si>
  <si>
    <t>Kit de Conectores 3 polos BZM hasta 100A, Tamaño 1 Doble</t>
  </si>
  <si>
    <t>KPRL4BZT23PD</t>
  </si>
  <si>
    <t>Kit de Conectores Doble 3 polos BZM Tamaño 2 para EDS IEC</t>
  </si>
  <si>
    <t>KPRL4BZT33PS</t>
  </si>
  <si>
    <t>Kit de Conectores Sencillo  3 polos BZM Tamaño 3 para EDS IEC</t>
  </si>
  <si>
    <t>EDSKPRL4PDG23PD</t>
  </si>
  <si>
    <t>KIT CTOR PDG2 PRL4,3P DOBLE</t>
  </si>
  <si>
    <t>EDSKPRL4PDG23PS</t>
  </si>
  <si>
    <t>KIT CTOR PDG2 PRL4,3P SENCILLO</t>
  </si>
  <si>
    <t>EDSKPRL4PDG33PS</t>
  </si>
  <si>
    <t>KIT CTOR PDG3 PRL4,3P SENCILLO</t>
  </si>
  <si>
    <t>KPRL4F1PD</t>
  </si>
  <si>
    <t>Kit de Conectores Doble 1 polo Marco F para EDS 1600</t>
  </si>
  <si>
    <t>KPRL4F2PD</t>
  </si>
  <si>
    <t>Kit de Conectores Doble 2 polos Marco F para EDS 1600</t>
  </si>
  <si>
    <t>KPRL4F3PD</t>
  </si>
  <si>
    <t>Kit de Conectores Doble 3 polos Marco F para EDS 1600</t>
  </si>
  <si>
    <t>KPRL4J3PS</t>
  </si>
  <si>
    <t>Kit de Conectores Sencillo 3 polos Marco J para EDS 1600</t>
  </si>
  <si>
    <t>KPRL4K3PS</t>
  </si>
  <si>
    <t>Kit de Conectores Sencillo 3 polos Marco K para EDS 1600</t>
  </si>
  <si>
    <t>KPRL4L3PS</t>
  </si>
  <si>
    <t>Kit de Conectores Sencillo 3 polos Marco L para EDS 1600</t>
  </si>
  <si>
    <t>KPRL4CUB1X</t>
  </si>
  <si>
    <t>Tapa ciega 1X para EDS 1600 NRX</t>
  </si>
  <si>
    <t>KPRL4CUB2X</t>
  </si>
  <si>
    <t>Tapa ciega 2X para EDS 1600 NRX</t>
  </si>
  <si>
    <t>KPRL4CUB3X</t>
  </si>
  <si>
    <t>Tapa ciega 3X para EDS 1600 NRX</t>
  </si>
  <si>
    <t>KPRL4CUB4X</t>
  </si>
  <si>
    <t>Tapa ciega 4X para EDS 1600 NRX</t>
  </si>
  <si>
    <t>KPRL4CUB5X</t>
  </si>
  <si>
    <t>Tapa ciega 5X para EDS 1600 NRX</t>
  </si>
  <si>
    <t>KPRL4CUB10X</t>
  </si>
  <si>
    <t>Tapa ciega 10X para EDS 1600 NRX</t>
  </si>
  <si>
    <t>EDSEB20IZMBC</t>
  </si>
  <si>
    <t>Eds, Est Bas 2000 IZMX Mf, S/M, Bus C.</t>
  </si>
  <si>
    <t>EDSIZMBL20F</t>
  </si>
  <si>
    <t>Ens. Bus lado de linea int izmx2000a montaje fijo</t>
  </si>
  <si>
    <t>EDSIZMBC20F</t>
  </si>
  <si>
    <t>Ens. Bus lado de carga int izmx2000a montaje fijo</t>
  </si>
  <si>
    <t>EDSIZMBL20R</t>
  </si>
  <si>
    <t>Ens. Bus lado de linea int izmx2000a montaje removible</t>
  </si>
  <si>
    <t>EDSIZMBC20R</t>
  </si>
  <si>
    <t>Ens. Bus lado de carga int izmx2000a montaje removible</t>
  </si>
  <si>
    <t>EDSIQK2KAIEC</t>
  </si>
  <si>
    <t>Eds, Kit de medición, Est de 2000A IEC, para IQ200</t>
  </si>
  <si>
    <t>EDSKBNCZ2KA</t>
  </si>
  <si>
    <t>kit de bus neutro 2000A, con zapatas mecanicas 500 mcm</t>
  </si>
  <si>
    <t>EDSKSNCZ2KA</t>
  </si>
  <si>
    <t>kit de sensor neutro 2000A, con zapatas mecanicas 500 mcm</t>
  </si>
  <si>
    <t>EDSIZMPMF</t>
  </si>
  <si>
    <t>Eds, puerta p/interruptor Izmx m/f, medicion IQ</t>
  </si>
  <si>
    <t>EDSIZMPMR</t>
  </si>
  <si>
    <t>Eds, puerta p/interruptor Izmx m/r, medicion IQ</t>
  </si>
  <si>
    <t>EDSEB32IZMBC</t>
  </si>
  <si>
    <t>Eds, Est Bas 3200 IZMX, S/M, Bus C.</t>
  </si>
  <si>
    <t>EDSIZMBL32HF</t>
  </si>
  <si>
    <t>Ens. Bus lado de linea int izmx 3200A,Heat Test, montaje fijo</t>
  </si>
  <si>
    <t>EDSIZMBC32HF</t>
  </si>
  <si>
    <t>Ens. Bus lado de carga int izmx 3200A,Heat Test, montaje fijo</t>
  </si>
  <si>
    <t>EDSIZMBL32HR</t>
  </si>
  <si>
    <t>Ens. Bus lado de linea int izmx 3200A,Heat Test, montaje removible</t>
  </si>
  <si>
    <t>EDSIZMBC32HR</t>
  </si>
  <si>
    <t>Ens. Bus lado de carga int izmx 3200A,Heat Test, montaje removible</t>
  </si>
  <si>
    <t>EDSIQK32KAIEC</t>
  </si>
  <si>
    <t>Eds, Kit de medición, Est de 3200A IEC, con IQ200</t>
  </si>
  <si>
    <t>EDSKBNCZ32KA</t>
  </si>
  <si>
    <t>kit de bus neutro 3200A, con zapatas mecanicas 500 mcm</t>
  </si>
  <si>
    <t>EDSKSNCZ32KA</t>
  </si>
  <si>
    <t>kit de sensor neutro 3200A, con zapatas mecanicas 500 mcm</t>
  </si>
  <si>
    <t>EDS36WCH20CB</t>
  </si>
  <si>
    <t>EDS 36 DE FRENTE X 36 FONDO, CHASIS DE 2000A, CON BUS CRUZADO, 3F3H PARA DERIVADOS</t>
  </si>
  <si>
    <t>EDS36WCH32CB</t>
  </si>
  <si>
    <t>EDS 36 DE FRENTE X 48 FONDO, CHASIS DE 3200A, CON BUS CRUZADO, 3F3H PARA DERIVADOS</t>
  </si>
  <si>
    <t>EDSBACP20</t>
  </si>
  <si>
    <t>EDS BUS ACOPLAMIENTO ADYACENTE 2000A</t>
  </si>
  <si>
    <t>EDSBACP32</t>
  </si>
  <si>
    <t>EDS BUS ACOPLAMIENTO ADYACENTE 3200A</t>
  </si>
  <si>
    <t>EDS32SV48D</t>
  </si>
  <si>
    <t>EDS SECCIÓN VACIA PARA 3200A FRENTE 36 POR 48 DE FONDO</t>
  </si>
  <si>
    <t>K1SWB3PBZT1D</t>
  </si>
  <si>
    <t xml:space="preserve">Kit de Conectores 3 polos BZM Tamaño 1, hasta 50A Doble </t>
  </si>
  <si>
    <t>K2SWB3PBZT1D</t>
  </si>
  <si>
    <t xml:space="preserve">Kit de Conectores 3 polos BZM Tamaño 1, hasta 100A Doble </t>
  </si>
  <si>
    <t>KSWB3PBZT2D</t>
  </si>
  <si>
    <t>Kit de Conectores 3 polos BZM Tamaño 2 Doble</t>
  </si>
  <si>
    <t>KSWB3PBZT2S</t>
  </si>
  <si>
    <t>Kit de Conectores 3 polos BZM Tamaño 2 Sencillo</t>
  </si>
  <si>
    <t>KSWB3PBZT3S</t>
  </si>
  <si>
    <t>Kit de Conectores 3 polos BZM Tamaño 3 Sencillo</t>
  </si>
  <si>
    <t>EDSKSWBPDG23PD</t>
  </si>
  <si>
    <t>KIT DE CONECTOR PDG2 EDS SWB36W,3P DOBLE</t>
  </si>
  <si>
    <t>EDSKSWBPDG23PS</t>
  </si>
  <si>
    <t>KIT DE CONECTOR PDG2 EDS SWB36W,3P SENCILLO</t>
  </si>
  <si>
    <t>EDSKSWBPDG33PD</t>
  </si>
  <si>
    <t>KIT DE CONECTOR PDG3 EDS SWB36W,3P DOBLE</t>
  </si>
  <si>
    <t>EDSKSWBPDG33PS</t>
  </si>
  <si>
    <t>KIT DE CONECTOR PDG3 EDS SWB36W,3P SENCILLO</t>
  </si>
  <si>
    <t>EDSKSWBPDG43PS</t>
  </si>
  <si>
    <t>KIT DE CONECTOR PDG4 EDS SWB36W,3P SENCILLO</t>
  </si>
  <si>
    <t>EDSKSWBPDG53PS</t>
  </si>
  <si>
    <t>KIT DE CONECTOR PDG5 EDS SWB36W,3P SENCILLO</t>
  </si>
  <si>
    <t>KSWBF1PD</t>
  </si>
  <si>
    <t>Kit de Conectores Doble 1 polo Marco F Doble</t>
  </si>
  <si>
    <t>KSWBF2PD</t>
  </si>
  <si>
    <t>Kit de Conectores Doble 2 polos Marco F Doble</t>
  </si>
  <si>
    <t>KSWBF3PD</t>
  </si>
  <si>
    <t>Kit de Conectores Doble 3 polos Marco F Doble</t>
  </si>
  <si>
    <t>KSWBJ3PD</t>
  </si>
  <si>
    <t>Kit de Conectores Doble 2-3 polos Marco J Doble</t>
  </si>
  <si>
    <t>KSWBJ3PS</t>
  </si>
  <si>
    <t>Kit de Conectores Doble 3 polos Marco J Sencillo</t>
  </si>
  <si>
    <t>KSWBK3PS</t>
  </si>
  <si>
    <t>Kit de Conectores Doble 2-3 polos Marco K Sencillo</t>
  </si>
  <si>
    <t>KSWBL3PS</t>
  </si>
  <si>
    <t>Kit de Conectores Doble 2-3 polos Marco L Sencillo</t>
  </si>
  <si>
    <t>KSWBN3PS</t>
  </si>
  <si>
    <t>Kit de Conectores Doble 2-3 polos Marco N Sencillo</t>
  </si>
  <si>
    <t>6554C02H01</t>
  </si>
  <si>
    <t>Tapa ciega 1X para Magnum 3200</t>
  </si>
  <si>
    <t>6554C02H02</t>
  </si>
  <si>
    <t>Tapa ciega 2X para Magnum 3200</t>
  </si>
  <si>
    <t>6554C02H03</t>
  </si>
  <si>
    <t>Tapa ciega 3X para Magnum 3200</t>
  </si>
  <si>
    <t>6554C02H13</t>
  </si>
  <si>
    <t>Tapa ciega 4X para Magnum 3200</t>
  </si>
  <si>
    <t>6554C02H14</t>
  </si>
  <si>
    <t>Tapa ciega 5X para Magnum 3200</t>
  </si>
  <si>
    <t>6554C02H07</t>
  </si>
  <si>
    <t>Tapa ciega 10X para Magnum 3200</t>
  </si>
  <si>
    <t>EDSKSPD236W</t>
  </si>
  <si>
    <t>KIT SPD 200KA &amp; 400KA INTERRUPTOR SERIE C</t>
  </si>
  <si>
    <t>EDSKSPD436W</t>
  </si>
  <si>
    <t>KIT SPD 200KA &amp; 400KA INTERRUPTOR POWER DEFENSE</t>
  </si>
  <si>
    <t>PLR4ML600</t>
  </si>
  <si>
    <t>ZAPATAS PRINCIPALES, PLR4 600A</t>
  </si>
  <si>
    <t>PLR4ML800</t>
  </si>
  <si>
    <t>ZAPATAS PRINCIPALES, PLR4 800A</t>
  </si>
  <si>
    <t>PLR4ML1200</t>
  </si>
  <si>
    <t>ZAPATAS PRINCIPALES, PLR4 1200</t>
  </si>
  <si>
    <t>PLR424W57H600</t>
  </si>
  <si>
    <t>ESTRUCTURA BASICA PRL4 24WX57H 600A</t>
  </si>
  <si>
    <t>PLR424W73H600</t>
  </si>
  <si>
    <t>ESTRUCTURA BASICA PRL4 24WX73H 600A</t>
  </si>
  <si>
    <t>PLR436W73H800</t>
  </si>
  <si>
    <t>ESTRUCTURA BASICA PRL4 36WX73H 800A</t>
  </si>
  <si>
    <t>PLR436W90H800</t>
  </si>
  <si>
    <t>ESTRUCTURA BASICA PRL4 36WX90H 800A</t>
  </si>
  <si>
    <t>PLR436W73H1200</t>
  </si>
  <si>
    <t>ESTRUCTURA BASICA PRL4 36WX73H 1200A</t>
  </si>
  <si>
    <t>PLR436W90H1200</t>
  </si>
  <si>
    <t>ESTRUCTURA BASICA PRL4 36WX90H 1200A</t>
  </si>
  <si>
    <t>1600 AMP</t>
  </si>
  <si>
    <t>2000 AMP</t>
  </si>
  <si>
    <t>3200 AMP</t>
  </si>
  <si>
    <t>Capacidad</t>
  </si>
  <si>
    <t>Acometida</t>
  </si>
  <si>
    <t>Montaje</t>
  </si>
  <si>
    <t>Fijo</t>
  </si>
  <si>
    <t>Removible</t>
  </si>
  <si>
    <t>Zapatas principales</t>
  </si>
  <si>
    <t>Interruptor principal</t>
  </si>
  <si>
    <t>Medicion</t>
  </si>
  <si>
    <t>Chasis</t>
  </si>
  <si>
    <t>600 AMP</t>
  </si>
  <si>
    <t>800 AMP</t>
  </si>
  <si>
    <t>1200 AMP</t>
  </si>
  <si>
    <t>Alimentador</t>
  </si>
  <si>
    <t>Configuracion</t>
  </si>
  <si>
    <t>Altura</t>
  </si>
  <si>
    <t>Entrada de cables</t>
  </si>
  <si>
    <t>Inferior</t>
  </si>
  <si>
    <t>Superior</t>
  </si>
  <si>
    <t>Size</t>
  </si>
  <si>
    <t>Corriente</t>
  </si>
  <si>
    <t>Doble</t>
  </si>
  <si>
    <t>Sencillo</t>
  </si>
  <si>
    <t>3X</t>
  </si>
  <si>
    <t>4X</t>
  </si>
  <si>
    <t>1X</t>
  </si>
  <si>
    <t>2X</t>
  </si>
  <si>
    <t>5X</t>
  </si>
  <si>
    <t>10X</t>
  </si>
  <si>
    <t>Marco</t>
  </si>
  <si>
    <t>F</t>
  </si>
  <si>
    <t>J</t>
  </si>
  <si>
    <t>K</t>
  </si>
  <si>
    <t>L</t>
  </si>
  <si>
    <t>BZME1-A16-BT-AP</t>
  </si>
  <si>
    <t>BZME1-A20-BT-AP</t>
  </si>
  <si>
    <t>BZME1-A25-BT-AP</t>
  </si>
  <si>
    <t>BZME1-A32-BT-AP</t>
  </si>
  <si>
    <t>BZME1-A40-BT-AP</t>
  </si>
  <si>
    <t>BZME1-A50-BT-AP</t>
  </si>
  <si>
    <t>BZME1-A63-BT-AP</t>
  </si>
  <si>
    <t>BZME1-A80-BT-AP</t>
  </si>
  <si>
    <t>BZME1-A100-BT-AP</t>
  </si>
  <si>
    <t>BZMB1-A16-BT-AP</t>
  </si>
  <si>
    <t>BZMB1-A20-BT-AP</t>
  </si>
  <si>
    <t>BZMB1-A25-BT-AP</t>
  </si>
  <si>
    <t>BZMB1-A32-BT-AP</t>
  </si>
  <si>
    <t>BZMB1-A40-BT-AP</t>
  </si>
  <si>
    <t>BZMB1-A50-BT-AP</t>
  </si>
  <si>
    <t>BZMB1-A63-BT-AP</t>
  </si>
  <si>
    <t>BZMB1-A80-BT-AP</t>
  </si>
  <si>
    <t>BZMB1-A100-BT-AP</t>
  </si>
  <si>
    <t>BZMC1-A32-BT-AP</t>
  </si>
  <si>
    <t>BZMC1-A40-BT-AP</t>
  </si>
  <si>
    <t>BZMC1-A50-BT-AP</t>
  </si>
  <si>
    <t>BZMC1-A63-BT-AP</t>
  </si>
  <si>
    <t>BZMC1-A80-BT-AP</t>
  </si>
  <si>
    <t>BZMC1-A100-BT-AP</t>
  </si>
  <si>
    <t>BZMB2-A125-AP</t>
  </si>
  <si>
    <t>BZMB2-A160-AP</t>
  </si>
  <si>
    <t>BZMB2-A200-AP</t>
  </si>
  <si>
    <t>BZMB2-A250-AP</t>
  </si>
  <si>
    <t>BZMC2-A125-AP</t>
  </si>
  <si>
    <t>BZMC2-A160-AP</t>
  </si>
  <si>
    <t>BZMC2-A200-AP</t>
  </si>
  <si>
    <t>BZMC2-A250-AP</t>
  </si>
  <si>
    <t>BZMB3-A250-AP</t>
  </si>
  <si>
    <t>BZMB3-A320-AP</t>
  </si>
  <si>
    <t>BZMB3-A350-AP</t>
  </si>
  <si>
    <t>BZMB3-A400-AP</t>
  </si>
  <si>
    <t>BZMC3-A250-AP</t>
  </si>
  <si>
    <t>BZMC3-A320-AP</t>
  </si>
  <si>
    <t>BZMC3-A350-AP</t>
  </si>
  <si>
    <t>BZMC3-A400-AP</t>
  </si>
  <si>
    <t>BZMN3-A250-AP</t>
  </si>
  <si>
    <t>BZMN3-A320-AP</t>
  </si>
  <si>
    <t>BZMN3-A350-AP</t>
  </si>
  <si>
    <t>BZMN3-A400-AP</t>
  </si>
  <si>
    <t>Tipo</t>
  </si>
  <si>
    <t>E</t>
  </si>
  <si>
    <t>B</t>
  </si>
  <si>
    <t>C</t>
  </si>
  <si>
    <t>N</t>
  </si>
  <si>
    <t>BZM</t>
  </si>
  <si>
    <t>PDG</t>
  </si>
  <si>
    <t># Polos</t>
  </si>
  <si>
    <t>PDG23F0015TFFJ</t>
  </si>
  <si>
    <t>PDG23F0020TFFJ</t>
  </si>
  <si>
    <t>PDG23F0030TFFJ</t>
  </si>
  <si>
    <t>PDG23F0040TFFJ</t>
  </si>
  <si>
    <t>PDG23F0050TFFJ</t>
  </si>
  <si>
    <t>PDG23F0060TFFJ</t>
  </si>
  <si>
    <t>PDG23F0070TFFJ</t>
  </si>
  <si>
    <t>PDG23F0080TFFJ</t>
  </si>
  <si>
    <t>PDG23F0125TFFJ</t>
  </si>
  <si>
    <t>PDG23F0150TFFJ</t>
  </si>
  <si>
    <t>PDG23F0175TFFJ</t>
  </si>
  <si>
    <t>PDG23F0200TFFJ</t>
  </si>
  <si>
    <t>PDG23F0225TFFJ</t>
  </si>
  <si>
    <t>PD, FRME2, 3P, 15A, 25KA/480V,</t>
  </si>
  <si>
    <t>PD, FRME2, 3P, 20A, 25KA/480V, TU</t>
  </si>
  <si>
    <t>PD, FRME2, 3P, 30A, 25KA/480V, TU</t>
  </si>
  <si>
    <t>PD, FRME2, 3P, 40A, 25KA/480V, TU</t>
  </si>
  <si>
    <t>PD, FRME2, 3P, 50A, 25KA/480V, TU</t>
  </si>
  <si>
    <t>PD, FRME2, 3P, 60A, 25KA/480V, TU</t>
  </si>
  <si>
    <t>PD, FRME2</t>
  </si>
  <si>
    <t>PD, FRME2, 3P, 80A, 25KA/480V, TU</t>
  </si>
  <si>
    <t>PD, FRME2, 3P, 125A, 25KA/480V,</t>
  </si>
  <si>
    <t>PD, FRME2, 3P, 150A, 25KA/480V, TU</t>
  </si>
  <si>
    <t>PD, FRME2, 3P, 175A, 25KA/480V,</t>
  </si>
  <si>
    <t>PD, FRME2, 3P, 200A, 25KA/480V, TU,</t>
  </si>
  <si>
    <t>PD, FRME2, 3P, 225A, 25KA/480V, TU</t>
  </si>
  <si>
    <t>G</t>
  </si>
  <si>
    <t>M</t>
  </si>
  <si>
    <t>PDG23G0015TFFJ</t>
  </si>
  <si>
    <t>PDG23G0020TFFJ</t>
  </si>
  <si>
    <t>PDG23G0030TFFJ</t>
  </si>
  <si>
    <t>PDG23G0040TFFJ</t>
  </si>
  <si>
    <t>PDG23G0050TFFJ</t>
  </si>
  <si>
    <t>PD, FRME2, 3P, 15A, 35KA/480V, TU</t>
  </si>
  <si>
    <t>PD, FRME2, 3P, 20A, 35KA/480V, TU</t>
  </si>
  <si>
    <t>PD, FRME2, 3P, 30A, 35KA/480V, TU</t>
  </si>
  <si>
    <t>PD, FRME2, 3P, 40A, 35KA/480V, TU</t>
  </si>
  <si>
    <t>PD, FRME2, 3P, 50A, 35KA/480V,</t>
  </si>
  <si>
    <t>PDG23G0060TFFJ</t>
  </si>
  <si>
    <t>PDG23G0070TFFJ</t>
  </si>
  <si>
    <t>PDG23G0080TFFJ</t>
  </si>
  <si>
    <t>PD, FRME2, 3P, 60A, 35KA/480V, TU</t>
  </si>
  <si>
    <t>PD, FRME2, 3P, 70A, 35KA/480V, TU</t>
  </si>
  <si>
    <t>PD, FRME2, 3P, 80A, 35KA/480V, TU</t>
  </si>
  <si>
    <t>PDG23G0100TFFJ</t>
  </si>
  <si>
    <t>PDG23G0125TFFJ</t>
  </si>
  <si>
    <t>PD, FRME2, 3P, 100A, 35KA/480V, TU</t>
  </si>
  <si>
    <t>PD, FRME2, 3P, 125A, 35KA/480V, TU</t>
  </si>
  <si>
    <t>PDG23G0150TFFJ</t>
  </si>
  <si>
    <t>PDG23G0175TFFJ</t>
  </si>
  <si>
    <t>PDG23G0200TFFJ</t>
  </si>
  <si>
    <t>PD, FRME2, 3P, 150A, 35KA/480V, TU</t>
  </si>
  <si>
    <t>PD, FRME2, 15AMP</t>
  </si>
  <si>
    <t>PD, FRME2, 3P, 200A, 35KA/480V, TU</t>
  </si>
  <si>
    <t>PDG23G0225TFFJ</t>
  </si>
  <si>
    <t>PD, FRME2, 3P, 225A, 35KA/480V, TU</t>
  </si>
  <si>
    <t>PDG23M0015TFFJ</t>
  </si>
  <si>
    <t>PDG23M0020TFFJ</t>
  </si>
  <si>
    <t>PD, FRME2, 3P, 15A, 65KA/480V, TU,</t>
  </si>
  <si>
    <t>PD, FRME2, 3P, 20A, 65KA/480V,</t>
  </si>
  <si>
    <t>PDG23M0030TFFJ</t>
  </si>
  <si>
    <t>PDG23M0040TFFJ</t>
  </si>
  <si>
    <t>PD, FRME2, 3P, 30A, 65KA/480V, TU</t>
  </si>
  <si>
    <t>PDG23M0050TFFJ</t>
  </si>
  <si>
    <t>PD, FRME2, 3P, 50A, 65KA/480V, TU</t>
  </si>
  <si>
    <t>PDG23M0060TFFJ</t>
  </si>
  <si>
    <t>PDG23M0070TFFJ</t>
  </si>
  <si>
    <t>PDG23M0080TFFJ</t>
  </si>
  <si>
    <t>PD, FRME2, 3P, 60A, 65KA/480V, TU</t>
  </si>
  <si>
    <t>POWER DEFENSE GLOBALLY RATED, FRAME 2</t>
  </si>
  <si>
    <t>PDG23M0100TFFJ</t>
  </si>
  <si>
    <t>PDG23M0125TFFJ</t>
  </si>
  <si>
    <t>PD, FRME2, 3P, 100A, 65KA/480V, TU,</t>
  </si>
  <si>
    <t>PD, FRME2, 3P, 125A, 65KA/480V, T-M</t>
  </si>
  <si>
    <t>PDG23M0150TFFJ</t>
  </si>
  <si>
    <t>PDG23M0175TFFJ</t>
  </si>
  <si>
    <t>PDG23M0200TFFJ</t>
  </si>
  <si>
    <t>PD, 150A</t>
  </si>
  <si>
    <t>PD, FRME2, 3P, 175A, 65KA/480V, TU</t>
  </si>
  <si>
    <t>PD, FRME2, 3P, 200A, 65KA/480V, TU</t>
  </si>
  <si>
    <t>PDG23M0225TFFJ</t>
  </si>
  <si>
    <t>PD, FRME2, 3P, 225A, 65KA/480V, TU</t>
  </si>
  <si>
    <t>Producto</t>
  </si>
  <si>
    <t>Interruptor</t>
  </si>
  <si>
    <t>PDG33F0175TFAJ</t>
  </si>
  <si>
    <t>PDG33F0200TFAJ</t>
  </si>
  <si>
    <t>PDG33F0225TFAJ</t>
  </si>
  <si>
    <t>PDG33F0250TFAJ</t>
  </si>
  <si>
    <t>PDG33F0300TFAJ</t>
  </si>
  <si>
    <t>PDG33F0350TFAJ</t>
  </si>
  <si>
    <t>PDG33F0400TFAJ</t>
  </si>
  <si>
    <t>PDG33F0500TFAJ</t>
  </si>
  <si>
    <t>PDG33F0600TFAJ</t>
  </si>
  <si>
    <t>PDG3,3P,175A,25KA/480V,FXADJ FRME</t>
  </si>
  <si>
    <t>PDG3,3P,200A,25KA/480V,FXADJ FRME</t>
  </si>
  <si>
    <t>PDG3,3P,225A,25KA/480V,FXADJ FRME</t>
  </si>
  <si>
    <t>PDG3,3P,250A,25KA/480V,FXADJ FRME</t>
  </si>
  <si>
    <t>PDG3,3P,300A,25KA/480V,FXADJ FRME</t>
  </si>
  <si>
    <t>PDG3,3P,350A,25KA/480V,FXADJ FRME</t>
  </si>
  <si>
    <t>PDG3,3P,400A,25KA/480V,FXADJ FRME</t>
  </si>
  <si>
    <t>PDG3,3P,500A,25KA/480V,FXADJ FRME</t>
  </si>
  <si>
    <t>PDG3,3P,600A,25KA/480V,FXADJ FRME</t>
  </si>
  <si>
    <t>PDG33G0175TFAJ</t>
  </si>
  <si>
    <t>PDG33G0200TFAJ</t>
  </si>
  <si>
    <t>PDG33G0225TFAJ</t>
  </si>
  <si>
    <t>PDG3,3P,175A,35KA/480V,FXADJ FRME</t>
  </si>
  <si>
    <t>PDG3,3P,200A,35KA/480V,FXADJ FRME</t>
  </si>
  <si>
    <t>PDG3,3P,225A,35KA/480V,FXADJ FRME</t>
  </si>
  <si>
    <t>PDG33G0250TFAJ</t>
  </si>
  <si>
    <t>PDG33G0300TFAJ</t>
  </si>
  <si>
    <t>PDG33G0350TFAJ</t>
  </si>
  <si>
    <t>PDG3,3P,250A,35KA/480V,FXADJ FRME</t>
  </si>
  <si>
    <t>PDG3,3P,300A,35KA/480V,FXADJ FRME</t>
  </si>
  <si>
    <t>PDG3,3P,350A,35KA/480V,FXADJ FRME</t>
  </si>
  <si>
    <t>PDG33G0400TFAJ</t>
  </si>
  <si>
    <t>PDG33G0500TFAJ</t>
  </si>
  <si>
    <t>PDG3,3P,400A,35KA/480V,FXADJ FRME</t>
  </si>
  <si>
    <t>PDG3,3P,500A,35KA/480V,FXADJ FRME</t>
  </si>
  <si>
    <t>PDG33G0600TFAJ</t>
  </si>
  <si>
    <t>PDG3,3P,600A,35KA/480V,FXADJ FRME</t>
  </si>
  <si>
    <t>PDG33M0175TFAJ</t>
  </si>
  <si>
    <t>PDG3,3P,175A,65KA/480V,FXADJ FRME</t>
  </si>
  <si>
    <t>PDG33M0200TFAJ</t>
  </si>
  <si>
    <t>PDG3,3P,200A,65KA/480V,FXADJ FRME</t>
  </si>
  <si>
    <t>PDG33M0225TFAJ</t>
  </si>
  <si>
    <t>PDG3,3P,225A,65KA/480V,FXADJ FRME</t>
  </si>
  <si>
    <t>PDG33M0250TFAJ</t>
  </si>
  <si>
    <t>PDG3,3P,250A,65KA/480V,FXADJ FRME</t>
  </si>
  <si>
    <t>PDG33M0300TFAJ</t>
  </si>
  <si>
    <t>PDG3,3P,300A,65KA/480V,FXADJ FRME</t>
  </si>
  <si>
    <t>PDG33M0350TFAJ</t>
  </si>
  <si>
    <t>PDG3,3P,350A,65KA/480V,FXADJ FRME</t>
  </si>
  <si>
    <t>PDG33M0400TFAJ</t>
  </si>
  <si>
    <t>PDG3,3P,400A,65KA/480V,FXADJ FRME</t>
  </si>
  <si>
    <t>PDG33M0500TFAJ</t>
  </si>
  <si>
    <t>PDG3,3P,500A,65KA/480V,FXADJ FRME</t>
  </si>
  <si>
    <t>PDG33M0600TFAJ</t>
  </si>
  <si>
    <t>PDG3,3P,600A,65KA/480V,FXADJ FRME</t>
  </si>
  <si>
    <t>PDG43K0600TFAJ</t>
  </si>
  <si>
    <t>PDG43K0700TFAJ</t>
  </si>
  <si>
    <t>PD, FRME4, 3P, 600A, 50KA/480V, T-M</t>
  </si>
  <si>
    <t>PD, FRME4, 3P, 700A, 50KA/480V, T-M</t>
  </si>
  <si>
    <t>PDG43K0800TFAJ</t>
  </si>
  <si>
    <t>PD, FRME4, 3P, 800A, 50KA/480V, T-M</t>
  </si>
  <si>
    <t>PDG43M0600TFAJ</t>
  </si>
  <si>
    <t>PDG43M0700TFAJ</t>
  </si>
  <si>
    <t>PD, FRME4, 3P, 600A, 65KA/480V, T-M</t>
  </si>
  <si>
    <t>PD, FRME4, 3P, 700A, 65KA/480V, T-M</t>
  </si>
  <si>
    <t>PDG43M0800TFAJ</t>
  </si>
  <si>
    <t>PD, FRME4, 3P, 800A, 65KA/480V, T-M</t>
  </si>
  <si>
    <t>Categoria</t>
  </si>
  <si>
    <t>Componente</t>
  </si>
  <si>
    <t>Conector</t>
  </si>
  <si>
    <t>D</t>
  </si>
  <si>
    <t>FDB2015L</t>
  </si>
  <si>
    <t>TYPE FDB, 2 POLE, 15A TRIP, 600V CLASS, LINE AND LOAD</t>
  </si>
  <si>
    <t>FDB2020L</t>
  </si>
  <si>
    <t>TYPE FDB, 2 POLE, 20A TRIP, 600V CLASS, LINE AND LOAD</t>
  </si>
  <si>
    <t>FDB2030L</t>
  </si>
  <si>
    <t>FDB2040L</t>
  </si>
  <si>
    <t>FDB2050L</t>
  </si>
  <si>
    <t>FDB2060L</t>
  </si>
  <si>
    <t>FDB2070L</t>
  </si>
  <si>
    <t>FDB2080L</t>
  </si>
  <si>
    <t>FDB2090L</t>
  </si>
  <si>
    <t>FDB2100L</t>
  </si>
  <si>
    <t>TYPE FDB, 2 POLE, 30A TRIP, 600V CLASS, LINE AND LOAD</t>
  </si>
  <si>
    <t>TYPE FDB, 2 POLE, 40A TRIP, 600V CLASS, LINE AND LOAD</t>
  </si>
  <si>
    <t xml:space="preserve"> TYPE FDB, 2 POLE, 50A TRIP, 600V CLASS, LINE AND LOAD</t>
  </si>
  <si>
    <t>TYPE FDB, 2 POLE, 60A TRIP, 600V CLASS, LINE AND LOAD</t>
  </si>
  <si>
    <t>TYPE FDB, 2 POLE, 70A TRIP, 600V CLASS, LINE AND LOAD</t>
  </si>
  <si>
    <t>TYPE FDB 2 POLE 80A CIRCUIT BRKR W/LINE AND LOAD TERMINALS</t>
  </si>
  <si>
    <t>TYPE FDB, 2 POLE, 90A TRIP, 600V CLASS, LINE AND LOAD</t>
  </si>
  <si>
    <t>TYPE FDB, 2 POLE, 100A TRIP, 600V CLASS, LINE AND LOAD</t>
  </si>
  <si>
    <t>FDB2125L</t>
  </si>
  <si>
    <t>FDB2150L</t>
  </si>
  <si>
    <t>FDB2175L</t>
  </si>
  <si>
    <t>FDB2200L</t>
  </si>
  <si>
    <t>FDB2225L</t>
  </si>
  <si>
    <t>FDB3015L</t>
  </si>
  <si>
    <t>TYPE FDB, 2 POLE, 125A TRIP, 600V CLASS, LINE AND LOAD</t>
  </si>
  <si>
    <t xml:space="preserve"> TYPE FDB, 2 POLE, 150A TRIP, 600V CLASS, LINE AND LOAD</t>
  </si>
  <si>
    <t>TYPE FDB, 2 POLE, 175A TRIP, 600V CLASS, LINE AND LOAD TERMI</t>
  </si>
  <si>
    <t>TYPE FDB, 2 POLE, 200A TRIP, 600V CLASS, LINE AND LOAD TERMI</t>
  </si>
  <si>
    <t>2 Polos, 225 A. Capacidad interruptiva 14 -18 KA</t>
  </si>
  <si>
    <t>INT. TERMOMAG. BCI 3P 15A  (F)</t>
  </si>
  <si>
    <t>FDB3020L</t>
  </si>
  <si>
    <t>INT. TERMOMAG. BCI 3P 20A  (F)</t>
  </si>
  <si>
    <t>FDB3030L</t>
  </si>
  <si>
    <t>INT. TERMOMAG.  BCI 3P 30A (F)</t>
  </si>
  <si>
    <t>FDB3040L</t>
  </si>
  <si>
    <t>TYPE FDB, 3 POLE, 40A TRIP, 600V CLASS, LINE AND LOAD</t>
  </si>
  <si>
    <t>FDB3050L</t>
  </si>
  <si>
    <t>FDB3060L</t>
  </si>
  <si>
    <t>TYPE FDB, 3 POLE, 50A TRIP, 600V CLASS, LINE AND LOAD</t>
  </si>
  <si>
    <t>TYPE FDB, 3 POLE, 60A TRIP, 600V CLASS, LINE AND LOAD</t>
  </si>
  <si>
    <t>FDB3070L</t>
  </si>
  <si>
    <t>FDB3080L</t>
  </si>
  <si>
    <t>FDB3090L</t>
  </si>
  <si>
    <t>INT. TERMOMAG. BCI 3P 70A (F)</t>
  </si>
  <si>
    <t>INT. TERMOMAG. BCI 3P 80A (F)</t>
  </si>
  <si>
    <t>TYPE FDB, 3 POLE, 90A TRIP, 600V CLASS, LINE AND LOAD</t>
  </si>
  <si>
    <t>FDB3100L</t>
  </si>
  <si>
    <t>INT. TERMOMAG. BCI 3P 100A (F)</t>
  </si>
  <si>
    <t>FDB3125L</t>
  </si>
  <si>
    <t>INT. TERMOMAG BCI 3P 125A (F)</t>
  </si>
  <si>
    <t>FDB3150L</t>
  </si>
  <si>
    <t>INT. TERMOMAG. BCI 3P 150A (F)</t>
  </si>
  <si>
    <t>FDB3175L</t>
  </si>
  <si>
    <t>FDB3200L</t>
  </si>
  <si>
    <t>INT. TERMOMAG. BCI 3P 175A   (F)</t>
  </si>
  <si>
    <t>INT. TERMOMAG. BCI 3P 200A   (F)</t>
  </si>
  <si>
    <t>FDB3225L</t>
  </si>
  <si>
    <t>3 Polos, 225 A. Capacidad interruptiva 25 - 65 KA</t>
  </si>
  <si>
    <t>FD1015L</t>
  </si>
  <si>
    <t>INT.TERMOMAGNETICO 1P. 15 A</t>
  </si>
  <si>
    <t>FD1020L</t>
  </si>
  <si>
    <t>FD1030L</t>
  </si>
  <si>
    <t>INT.TERMOMAGNETICO 1P. 20 A(F)</t>
  </si>
  <si>
    <t>INT.TERMOMAGNETICO 1P. 30 A(F)</t>
  </si>
  <si>
    <t>FD1040L</t>
  </si>
  <si>
    <t>INT.TERMOMAGNETICO 1P. 40 A(F)</t>
  </si>
  <si>
    <t>FD1050L</t>
  </si>
  <si>
    <t>FD1060L</t>
  </si>
  <si>
    <t>FD1070L</t>
  </si>
  <si>
    <t>FD1080L</t>
  </si>
  <si>
    <t>FD1100L</t>
  </si>
  <si>
    <t>FD1125L</t>
  </si>
  <si>
    <t>FD1150L</t>
  </si>
  <si>
    <t>1P FD 50A</t>
  </si>
  <si>
    <t>1P FD 60A</t>
  </si>
  <si>
    <t>INT.TERMOMAGNETICO 1P. 70 A(F)</t>
  </si>
  <si>
    <t>1P FD 80A</t>
  </si>
  <si>
    <t>INT.TERMOMAGNETICO 1P. 100A(F)</t>
  </si>
  <si>
    <t>FD 1P 125A L&amp;L TERM</t>
  </si>
  <si>
    <t>FD 1P 150A</t>
  </si>
  <si>
    <t>FD2015L</t>
  </si>
  <si>
    <t>TYPE FD BREAKER 2P 15A/250VDC MAX 10K / 600VAC MAX 18K AIC</t>
  </si>
  <si>
    <t>FD2020L</t>
  </si>
  <si>
    <t>INT.TERMOMAGNETICO 2P. 20 A(F)</t>
  </si>
  <si>
    <t>FD2030L</t>
  </si>
  <si>
    <t>INT.TERMOMAGNETICO 2P. 30 A(F)</t>
  </si>
  <si>
    <t>FD2040L</t>
  </si>
  <si>
    <t>INT.TERMOMAGNETICO 2P. 40 A(F)</t>
  </si>
  <si>
    <t>FD2050L</t>
  </si>
  <si>
    <t>FD2060L</t>
  </si>
  <si>
    <t>FD2070L</t>
  </si>
  <si>
    <t>FD2080L</t>
  </si>
  <si>
    <t>FD2090L</t>
  </si>
  <si>
    <t>TYPE FD BREAKER 2P 50A/ 250VDC MAX 10K / 600VAC MAX 18K AIC</t>
  </si>
  <si>
    <t>TYPE FD BREAKER 2P 60A/250VDC MAX 10K / 600VAC MAX 18K AIC</t>
  </si>
  <si>
    <t>TYPE FD BREAKER 2P 70A/ 250VDC MAX 10K / 600VAC MAX 18K AIC</t>
  </si>
  <si>
    <t>TYPE FD BREAKER 2P 80A/ 250VDC MAX 10K / 600VAC MAX 18K AIC</t>
  </si>
  <si>
    <t>TYPE FD BRAKER 2P 90A/ 250VDC MAX 10K / 600VAC MAX 18K AIC</t>
  </si>
  <si>
    <t>FD2100L</t>
  </si>
  <si>
    <t>FD2125L</t>
  </si>
  <si>
    <t>TYPE FD BREAKER 2P 100A/ 250VDC MAX 10K / 600VAC MAX 18K AIC</t>
  </si>
  <si>
    <t>TYPE FD BREAKER 2P 125A/ 250VDC MAX 10K / 600VAC MAX 18K AIC</t>
  </si>
  <si>
    <t>FD2150L</t>
  </si>
  <si>
    <t>INT.TERMOMAGNETICO 2P. 150A(F)</t>
  </si>
  <si>
    <t>FD2175L</t>
  </si>
  <si>
    <t>FD2200L</t>
  </si>
  <si>
    <t>FD2225L</t>
  </si>
  <si>
    <t>FD 2P 600VAC RATED LINE AND LOAD TERMS</t>
  </si>
  <si>
    <t>FD3015L</t>
  </si>
  <si>
    <t>TYPE FD BREAKER 3P 15A 600VAC MAX 18K AIC</t>
  </si>
  <si>
    <t>FD3020L</t>
  </si>
  <si>
    <t>TYPE FD BREAKER 3P 20A 600VAC MAX 18K AIC</t>
  </si>
  <si>
    <t>FD3030L</t>
  </si>
  <si>
    <t>TYPE FD BREAKER 3P 30A 600VAC MAX 14K AIC .</t>
  </si>
  <si>
    <t>FD3040L</t>
  </si>
  <si>
    <t>TYPE FD BREAKER 3P 40A 600VAC MAX 18K AIC</t>
  </si>
  <si>
    <t>FD3050L</t>
  </si>
  <si>
    <t>FD3060L</t>
  </si>
  <si>
    <t>FD3070L</t>
  </si>
  <si>
    <t>FD3080L</t>
  </si>
  <si>
    <t>TYPE FD BREAKER 3P 50A 600VAC MAX 18K AIC</t>
  </si>
  <si>
    <t>TYPE FD BREAKER 3P 60A 600VAC MAX 18K AIC</t>
  </si>
  <si>
    <t>TYPE FD BREAKER 3P 70A 600VAC MAX 18K AIC</t>
  </si>
  <si>
    <t>TYPE FD BREAKER 3P 80A 600VAC MAX 18K AIC</t>
  </si>
  <si>
    <t>FD3090L</t>
  </si>
  <si>
    <t>TYPE FD BREAKER 3P 90A 600VAC MAX 18K AIC</t>
  </si>
  <si>
    <t>FD3100L</t>
  </si>
  <si>
    <t>TYPE FD BREAKER 3P 100A 600VAC MAX 18K AIC</t>
  </si>
  <si>
    <t>FD3125L</t>
  </si>
  <si>
    <t>TYPE FD BREAKER 3P 125A 600VAC MAX 18K AIC</t>
  </si>
  <si>
    <t>FD3150L</t>
  </si>
  <si>
    <t>FD3175L</t>
  </si>
  <si>
    <t>FD3200L</t>
  </si>
  <si>
    <t>FD3225L</t>
  </si>
  <si>
    <t>INT.TERMOMAGNETICO 3P. 150A(F)</t>
  </si>
  <si>
    <t>FD 3P 600VAC RATED LINE AND LOAD TERMS</t>
  </si>
  <si>
    <t>HFD2015L</t>
  </si>
  <si>
    <t>HFD2020L</t>
  </si>
  <si>
    <t>HFD2030L</t>
  </si>
  <si>
    <t>HFD2040L</t>
  </si>
  <si>
    <t>HFD2050L</t>
  </si>
  <si>
    <t>INT. TERMOMAGNETICO 2P.15A.(F)</t>
  </si>
  <si>
    <t>INT. TERMOMAGNETICO 2P.20A.(F)</t>
  </si>
  <si>
    <t>TYPE HFD, 2 POLE, 30A TRIP, 600V CLASS, 65KA AT 480V, LINE</t>
  </si>
  <si>
    <t>TYPE HFD, 2 POLE, 40A TRIP, 600V CLASS, 65KA AT 480V, LINE</t>
  </si>
  <si>
    <t>TYPE HFD, 2 POLE, 50A TRIP, 600V CLASS, 65KA AT 480V, LINE</t>
  </si>
  <si>
    <t>HFD2070L</t>
  </si>
  <si>
    <t>TYPE HFD BREAKER 2 POLE 70AMP WITH LINE AND LOAD TERMINALS</t>
  </si>
  <si>
    <t>HFD2100L</t>
  </si>
  <si>
    <t>HFD2125L</t>
  </si>
  <si>
    <t>HFD2150L</t>
  </si>
  <si>
    <t>2P HFD 100A</t>
  </si>
  <si>
    <t>TYPE HFD, 2 POLE, 125A TRIP, 600V CLASS, 65KA AT 480V, LINE</t>
  </si>
  <si>
    <t>TYPE HFD BREAKER 2 POLE 150 AMP WITH LINE AND LOAD TERMINALS</t>
  </si>
  <si>
    <t>HFD3015L</t>
  </si>
  <si>
    <t>3P HFD 15 Amp Breaker</t>
  </si>
  <si>
    <t>HFD3020L</t>
  </si>
  <si>
    <t>3P HFD 20 Amp Breaker</t>
  </si>
  <si>
    <t>HFD3030L</t>
  </si>
  <si>
    <t>TYPE HFD, 3 POLE, 30A TRIP, 600V CLASS, 65KA AT 480V, LINE</t>
  </si>
  <si>
    <t>HFD3040L</t>
  </si>
  <si>
    <t>INT. TERMOMAGNETICO 3P 40A.(F)</t>
  </si>
  <si>
    <t>HFD3050L</t>
  </si>
  <si>
    <t>INT.TERMOMAGNETICO 3P. 50A.(F)</t>
  </si>
  <si>
    <t>HFD3070L</t>
  </si>
  <si>
    <t>INT.TERMOMAGNETICO 3P. 70A.(F)</t>
  </si>
  <si>
    <t>HFD3100L</t>
  </si>
  <si>
    <t>TYPE HFD, 3 POLE, 100A, 600V CLASS, 65KA AT 480V, LINE</t>
  </si>
  <si>
    <t>HFD3125L</t>
  </si>
  <si>
    <t>INT.TERMOMAGNETICO 3P. 125A(F)</t>
  </si>
  <si>
    <t>HFD3150L</t>
  </si>
  <si>
    <t>TYPE HFD, 3 POLE, 150A TRIP, 600V CLASS, 65KA AT 480V, LINE</t>
  </si>
  <si>
    <t>HFD3175L</t>
  </si>
  <si>
    <t>HFD3200L</t>
  </si>
  <si>
    <t>HFD3225L</t>
  </si>
  <si>
    <t>HFD 3P 600VAC RATED LINE AND LOAD ONLY</t>
  </si>
  <si>
    <t>HFD 3P 200A 600VAC WITH LINE AND LOAD TERMINALS</t>
  </si>
  <si>
    <t>H</t>
  </si>
  <si>
    <t>JDB3175L</t>
  </si>
  <si>
    <t>MOLDED CASE INT 600 VAC MAX, 3 POLES</t>
  </si>
  <si>
    <t>JDB3200L</t>
  </si>
  <si>
    <t>MOLDED CASE INT. 600 VAC MAX, 3 POLES, 200 A</t>
  </si>
  <si>
    <t>JDB3225L</t>
  </si>
  <si>
    <t>TYPE JDB 3P 225A INDUSTRIAL CIR BKR W/TERMINALS</t>
  </si>
  <si>
    <t>JDB3250L</t>
  </si>
  <si>
    <t>TYPE JDB 3P 250A INDUSTRIAL CIR BKR W/TERMINALS</t>
  </si>
  <si>
    <t>JD3125L</t>
  </si>
  <si>
    <t>JD3150L</t>
  </si>
  <si>
    <t>JD3175L</t>
  </si>
  <si>
    <t>TYPE JD BREAKER 3P 175A 600VAC MAX 18KAIC @ 600V</t>
  </si>
  <si>
    <t>JD3200L</t>
  </si>
  <si>
    <t>TYPE JD BREAKER 3P 200A 600VAC MAX 18KAIC @ 600V</t>
  </si>
  <si>
    <t>JD3225L</t>
  </si>
  <si>
    <t>TYPE JD BREAKER 3P 225A 600VAC MAX 18KAIC @ 600V</t>
  </si>
  <si>
    <t>JD3250L</t>
  </si>
  <si>
    <t>TYPE JD BREAKER 3P 250A 600VAC MAX 18KAIC @ 600V</t>
  </si>
  <si>
    <t>HJD3125L</t>
  </si>
  <si>
    <t>HJD3150L</t>
  </si>
  <si>
    <t>HJD3175L</t>
  </si>
  <si>
    <t>HJD BREAKER COMPLETE 3P 175A 600VAC MAX  65KAIC @ 480V</t>
  </si>
  <si>
    <t>HJD3200L</t>
  </si>
  <si>
    <t>HJD BREAKER COMPLETE 3P 200A 600VAC  65KAIC @ 480V</t>
  </si>
  <si>
    <t>HJD3225L</t>
  </si>
  <si>
    <t>INT.TERMOMAGNETICO 3P. 225A(F)</t>
  </si>
  <si>
    <t>HJD3250L</t>
  </si>
  <si>
    <t>INT.TERMOMAGNETICO 3P. 250A(F)</t>
  </si>
  <si>
    <t>KDB3300L</t>
  </si>
  <si>
    <t>INT. TERMOMAG. BCI  K      (F)</t>
  </si>
  <si>
    <t>KDB3350L</t>
  </si>
  <si>
    <t>INT. TERMOMAG. BCI K       (F)</t>
  </si>
  <si>
    <t>KDB3400L</t>
  </si>
  <si>
    <t>3 Polos, 400 A. Capacidad interruptiva 25 - 65 KA</t>
  </si>
  <si>
    <t>KD3200L</t>
  </si>
  <si>
    <t>TYPE KD BREAKER 3P 200A 600VAC MAX 25KAIC @ 600V</t>
  </si>
  <si>
    <t>KD3225L</t>
  </si>
  <si>
    <t>TYPE KD BREAKER 3P 225A 600VAC MAX 25KAIC @ 600V</t>
  </si>
  <si>
    <t>KD3250L</t>
  </si>
  <si>
    <t>TYPE KD BREAKER 3P 250A 600VAC MAX 25KAIC @ 600V</t>
  </si>
  <si>
    <t>KD3300L</t>
  </si>
  <si>
    <t>TYPE KD BREAKER 3P 300A 600VAC MAX 25KAIC @ 600V</t>
  </si>
  <si>
    <t>KD3350L</t>
  </si>
  <si>
    <t>INT.TERMOMAGNETICO 3P. 350A(F)</t>
  </si>
  <si>
    <t>KD3400L</t>
  </si>
  <si>
    <t>INT.TERMOMAGNETICO 3P. 400A(F)</t>
  </si>
  <si>
    <t>HKD3200L</t>
  </si>
  <si>
    <t>HKD BREAKER COMPLETE 3P 200A 600VAC MAX  65KAIC @ 480V</t>
  </si>
  <si>
    <t>HKD3225L</t>
  </si>
  <si>
    <t>K-FRAME 3 POLE 225 AMP 600VAC</t>
  </si>
  <si>
    <t>HKD3250L</t>
  </si>
  <si>
    <t>HKD BREAKER COMPLETE 3P 250A 600VAC MAX  65KAIC @ 480V</t>
  </si>
  <si>
    <t>HKD3300L</t>
  </si>
  <si>
    <t>INT.TERMOMAGNETICO 3P. 300A(F)</t>
  </si>
  <si>
    <t>HKD3350L</t>
  </si>
  <si>
    <t>HKD3400L</t>
  </si>
  <si>
    <t>HKD BREAKER COMPLETE 3P 400A 600VAC MAX  65KAIC @ 480V</t>
  </si>
  <si>
    <t>LDB3400L</t>
  </si>
  <si>
    <t>3P 400A BKR</t>
  </si>
  <si>
    <t>LDB3500L</t>
  </si>
  <si>
    <t>INT. TERMOMAG. BCI L       (F)</t>
  </si>
  <si>
    <t>LDB3600L</t>
  </si>
  <si>
    <t>INT. TERMOMAG. BCI  L      (F)</t>
  </si>
  <si>
    <t>LD3400L</t>
  </si>
  <si>
    <t>LD 3P 400AMP L&amp;L TERM</t>
  </si>
  <si>
    <t>LD3500L</t>
  </si>
  <si>
    <t>3 POLE 500 AMP LD BREAKER</t>
  </si>
  <si>
    <t>LD3600L</t>
  </si>
  <si>
    <t>3 POLE LD 600 AMP BREAKER</t>
  </si>
  <si>
    <t>HLD3400L</t>
  </si>
  <si>
    <t>HLD3500L</t>
  </si>
  <si>
    <t>3 POLE HLD 500 AMP BREAKER</t>
  </si>
  <si>
    <t>HLD3600L</t>
  </si>
  <si>
    <t>HLD 3P 600AMP L &amp; L TERM</t>
  </si>
  <si>
    <t>Ubicacion</t>
  </si>
  <si>
    <t>Corriente Min</t>
  </si>
  <si>
    <t>Corriente Max</t>
  </si>
  <si>
    <t>Espacio</t>
  </si>
  <si>
    <t>60X</t>
  </si>
  <si>
    <t>6X</t>
  </si>
  <si>
    <t>38X</t>
  </si>
  <si>
    <t>Sensor neutro</t>
  </si>
  <si>
    <t>Bus neutro</t>
  </si>
  <si>
    <t>Tamano</t>
  </si>
  <si>
    <t>NAS6163B2PDN</t>
  </si>
  <si>
    <t>RAS6203B2PMN</t>
  </si>
  <si>
    <t>RAS6323B2PQN</t>
  </si>
  <si>
    <t>NAS6163W2PDN</t>
  </si>
  <si>
    <t>RAS6203W2PMN</t>
  </si>
  <si>
    <t>RAS6323W2PQN</t>
  </si>
  <si>
    <t>Manual</t>
  </si>
  <si>
    <t>NAS6163B2PDA</t>
  </si>
  <si>
    <t>RAS6203B2PMA</t>
  </si>
  <si>
    <t>RAS6323B2PQA</t>
  </si>
  <si>
    <t>NAS6163W2PDA</t>
  </si>
  <si>
    <t>RAS6203W2PMA</t>
  </si>
  <si>
    <t>RAS6323W2PQA</t>
  </si>
  <si>
    <t>+IZMX-PXRP-T-1</t>
  </si>
  <si>
    <t>******</t>
  </si>
  <si>
    <t>Eléctrica</t>
  </si>
  <si>
    <t>Chasis de Derivados</t>
  </si>
  <si>
    <t>Seccion Vacia</t>
  </si>
  <si>
    <t>Clasificacion</t>
  </si>
  <si>
    <t>PDG2</t>
  </si>
  <si>
    <t>PDG3</t>
  </si>
  <si>
    <t>PDG4</t>
  </si>
  <si>
    <t>PDG5</t>
  </si>
  <si>
    <t>BZM3</t>
  </si>
  <si>
    <t>BZM1</t>
  </si>
  <si>
    <t>BZM2</t>
  </si>
  <si>
    <t xml:space="preserve">Removible </t>
  </si>
  <si>
    <t>19X</t>
  </si>
  <si>
    <t>31X</t>
  </si>
  <si>
    <t>43X</t>
  </si>
  <si>
    <t>29X</t>
  </si>
  <si>
    <t>41X</t>
  </si>
  <si>
    <t>Tapa ciega 1X para EDS 600 NRX</t>
  </si>
  <si>
    <t>Tapa ciega 2X para EDS 600 NRX</t>
  </si>
  <si>
    <t>Tapa ciega 3X para EDS 600 NRX</t>
  </si>
  <si>
    <t>Tapa ciega 4X para EDS 600 NRX</t>
  </si>
  <si>
    <t>Tapa ciega 5X para EDS 600 NRX</t>
  </si>
  <si>
    <t>Tapa ciega 10X para EDS 600 NRX</t>
  </si>
  <si>
    <t>Tapa ciega 1X para Magnum 800</t>
  </si>
  <si>
    <t>Tapa ciega 2X para Magnum 800</t>
  </si>
  <si>
    <t>Tapa ciega 3X para Magnum 800</t>
  </si>
  <si>
    <t>Tapa ciega 4X para Magnum 800</t>
  </si>
  <si>
    <t>Tapa ciega 5X para Magnum 800</t>
  </si>
  <si>
    <t>Tapa ciega 10X para Magnum 800</t>
  </si>
  <si>
    <t>Tapa ciega 1X para Magnum 1200</t>
  </si>
  <si>
    <t>Tapa ciega 2X para Magnum 1200</t>
  </si>
  <si>
    <t>Tapa ciega 3X para Magnum 1200</t>
  </si>
  <si>
    <t>Tapa ciega 4X para Magnum 1200</t>
  </si>
  <si>
    <t>Tapa ciega 5X para Magnum 1200</t>
  </si>
  <si>
    <t>Tapa ciega 10X para Magnum 1200</t>
  </si>
  <si>
    <t>PDG53K0800P2MN</t>
  </si>
  <si>
    <t>PD, FRME5, 3P, 800A, 50KA/480V, PXR25</t>
  </si>
  <si>
    <t>PDG53K1200P2MN</t>
  </si>
  <si>
    <t>PD, FRME5, 3P, 1200A, 50KA/480V, PXR25</t>
  </si>
  <si>
    <t>PDG53M0800P2MN</t>
  </si>
  <si>
    <t>PD, FRME5, 3P, 800A, 65KA/480V, PXR25</t>
  </si>
  <si>
    <t>PDG53M1200P2MN</t>
  </si>
  <si>
    <t>PD, FRME5, 3P, 1200A, 65KA/480V, PXR25</t>
  </si>
  <si>
    <t>Costo</t>
  </si>
  <si>
    <t>Venta</t>
  </si>
  <si>
    <t>Margen</t>
  </si>
  <si>
    <t>IQ100XEMA5510</t>
  </si>
  <si>
    <t>Medidor IQ100 display LCD, medicion V, I, W, VAR, Hz, WH, FP, Output trigger</t>
  </si>
  <si>
    <t>IQ200XEMA5511</t>
  </si>
  <si>
    <t>Medidor IQ200 display LCD, medicion V, I, W, VAR, Hz, WH, FP, THD a la 63a, Modbus RTU</t>
  </si>
  <si>
    <t>APM300-ETH</t>
  </si>
  <si>
    <t>PXE1MB1A3</t>
  </si>
  <si>
    <t>Medidor PXE1 con pantalla 1A/5A, 415VAC/300VDC, 3TCs</t>
  </si>
  <si>
    <t>Medidor APM300 80 Parametros incluye Ethernet</t>
  </si>
  <si>
    <t xml:space="preserve">Margen </t>
  </si>
  <si>
    <t>Tapa ciega 1X para Magnum 2000</t>
  </si>
  <si>
    <t>Tapa ciega 2X para Magnum 2000</t>
  </si>
  <si>
    <t>Tapa ciega 3X para Magnum 2000</t>
  </si>
  <si>
    <t>Tapa ciega 4X para Magnum 2000</t>
  </si>
  <si>
    <t>Tapa ciega 5X para Magnum 2000</t>
  </si>
  <si>
    <t>Tapa ciega 10X para Magnum 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</si>
</sst>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#,##0;[Red]\-&quot;$&quot;#,##0"/>
    <numFmt numFmtId="8" formatCode="&quot;$&quot;#,##0.00;[Red]\-&quot;$&quot;#,##0.00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&quot;$&quot;#,##0"/>
    <numFmt numFmtId="166" formatCode="&quot;$&quot;#,##0.00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242424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0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28">
    <xf numFmtId="0" fontId="0" fillId="0" borderId="0" xfId="0"/>
    <xf numFmtId="0" fontId="2" fillId="0" borderId="0" xfId="0" applyFont="1"/>
    <xf numFmtId="6" fontId="0" fillId="0" borderId="0" xfId="0" applyNumberFormat="1"/>
    <xf numFmtId="0" fontId="1" fillId="0" borderId="0" xfId="0" applyFont="1"/>
    <xf numFmtId="0" fontId="0" fillId="2" borderId="0" xfId="0" applyFill="1"/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164" fontId="7" fillId="0" borderId="0" xfId="0" applyNumberFormat="1" applyFont="1"/>
    <xf numFmtId="44" fontId="0" fillId="0" borderId="0" xfId="1" applyFont="1"/>
    <xf numFmtId="44" fontId="4" fillId="0" borderId="0" xfId="1" applyFont="1"/>
    <xf numFmtId="0" fontId="0" fillId="0" borderId="0" xfId="0" applyAlignment="1">
      <alignment horizontal="left"/>
    </xf>
    <xf numFmtId="165" fontId="0" fillId="0" borderId="0" xfId="0" applyNumberFormat="1" applyAlignment="1">
      <alignment horizontal="left"/>
    </xf>
    <xf numFmtId="165" fontId="1" fillId="0" borderId="0" xfId="0" applyNumberFormat="1" applyFont="1" applyAlignment="1">
      <alignment horizontal="center"/>
    </xf>
    <xf numFmtId="0" fontId="0" fillId="0" borderId="0" xfId="2" applyNumberFormat="1" applyFont="1"/>
    <xf numFmtId="166" fontId="0" fillId="0" borderId="0" xfId="2" applyNumberFormat="1" applyFont="1"/>
    <xf numFmtId="166" fontId="1" fillId="0" borderId="0" xfId="0" applyNumberFormat="1" applyFont="1"/>
    <xf numFmtId="166" fontId="0" fillId="0" borderId="0" xfId="0" applyNumberFormat="1"/>
    <xf numFmtId="165" fontId="0" fillId="0" borderId="0" xfId="2" applyNumberFormat="1" applyFont="1" applyBorder="1"/>
    <xf numFmtId="9" fontId="0" fillId="0" borderId="0" xfId="3" applyFont="1"/>
    <xf numFmtId="165" fontId="0" fillId="0" borderId="0" xfId="1" applyNumberFormat="1" applyFont="1"/>
    <xf numFmtId="165" fontId="1" fillId="0" borderId="0" xfId="0" applyNumberFormat="1" applyFont="1"/>
    <xf numFmtId="165" fontId="0" fillId="0" borderId="0" xfId="0" applyNumberFormat="1"/>
    <xf numFmtId="9" fontId="1" fillId="0" borderId="0" xfId="3" applyFont="1"/>
    <xf numFmtId="9" fontId="1" fillId="0" borderId="0" xfId="3" applyFont="1" applyAlignment="1">
      <alignment horizontal="center"/>
    </xf>
    <xf numFmtId="8" fontId="0" fillId="0" borderId="0" xfId="0" applyNumberFormat="1"/>
    <xf numFmtId="166" fontId="1" fillId="0" borderId="0" xfId="0" applyNumberFormat="1" applyFont="1" applyAlignment="1">
      <alignment horizontal="center"/>
    </xf>
    <xf numFmtId="166" fontId="0" fillId="0" borderId="0" xfId="0" applyNumberFormat="1" applyAlignment="1">
      <alignment horizontal="left"/>
    </xf>
  </cellXfs>
  <cellStyles count="4">
    <cellStyle name="Comma" xfId="2" builtinId="3"/>
    <cellStyle name="Currency" xfId="1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A467A-8250-4705-9EA7-960D198EF57F}">
  <dimension ref="A1:H10"/>
  <sheetViews>
    <sheetView workbookViewId="0">
      <selection activeCell="J11" sqref="J11"/>
    </sheetView>
  </sheetViews>
  <sheetFormatPr defaultRowHeight="15" x14ac:dyDescent="0.25"/>
  <cols>
    <col min="1" max="1" width="15.85546875" bestFit="1" customWidth="1"/>
    <col min="2" max="2" width="36.85546875" bestFit="1" customWidth="1"/>
    <col min="3" max="3" width="17" customWidth="1"/>
    <col min="6" max="6" width="10.140625" bestFit="1" customWidth="1"/>
  </cols>
  <sheetData>
    <row r="1" spans="1:8" s="3" customFormat="1" x14ac:dyDescent="0.25">
      <c r="A1" s="3" t="s">
        <v>0</v>
      </c>
      <c r="B1" s="3" t="s">
        <v>1</v>
      </c>
      <c r="C1" s="3" t="s">
        <v>186</v>
      </c>
      <c r="D1" s="3" t="s">
        <v>200</v>
      </c>
      <c r="E1" s="3" t="s">
        <v>682</v>
      </c>
      <c r="F1" s="3" t="s">
        <v>747</v>
      </c>
      <c r="G1" s="3" t="s">
        <v>2</v>
      </c>
      <c r="H1" s="3" t="s">
        <v>749</v>
      </c>
    </row>
    <row r="2" spans="1:8" x14ac:dyDescent="0.25">
      <c r="A2" t="s">
        <v>3</v>
      </c>
      <c r="B2" s="4" t="s">
        <v>4</v>
      </c>
      <c r="C2" t="s">
        <v>183</v>
      </c>
      <c r="E2" t="s">
        <v>683</v>
      </c>
      <c r="F2" s="15">
        <v>61416.95353803</v>
      </c>
      <c r="G2" s="2">
        <v>131929</v>
      </c>
      <c r="H2" s="19">
        <f>ROUND(((G2-F2)/G2), 4)</f>
        <v>0.53449999999999998</v>
      </c>
    </row>
    <row r="3" spans="1:8" x14ac:dyDescent="0.25">
      <c r="A3" t="s">
        <v>65</v>
      </c>
      <c r="B3" s="4" t="s">
        <v>66</v>
      </c>
      <c r="C3" t="s">
        <v>184</v>
      </c>
      <c r="E3" t="s">
        <v>685</v>
      </c>
      <c r="F3" s="15">
        <v>41539.754683799998</v>
      </c>
      <c r="G3" s="2">
        <v>110044</v>
      </c>
      <c r="H3" s="19">
        <f t="shared" ref="H3:H10" si="0">ROUND(((G3-F3)/G3), 4)</f>
        <v>0.62250000000000005</v>
      </c>
    </row>
    <row r="4" spans="1:8" x14ac:dyDescent="0.25">
      <c r="A4" t="s">
        <v>85</v>
      </c>
      <c r="B4" s="4" t="s">
        <v>86</v>
      </c>
      <c r="C4" t="s">
        <v>185</v>
      </c>
      <c r="E4" t="s">
        <v>685</v>
      </c>
      <c r="F4" s="15">
        <v>86597.121591279996</v>
      </c>
      <c r="G4" s="2">
        <v>205776</v>
      </c>
      <c r="H4" s="19">
        <f t="shared" si="0"/>
        <v>0.57920000000000005</v>
      </c>
    </row>
    <row r="5" spans="1:8" x14ac:dyDescent="0.25">
      <c r="A5" t="s">
        <v>171</v>
      </c>
      <c r="B5" s="4" t="s">
        <v>172</v>
      </c>
      <c r="C5" t="s">
        <v>195</v>
      </c>
      <c r="D5">
        <v>57</v>
      </c>
      <c r="E5" t="s">
        <v>716</v>
      </c>
      <c r="F5" s="15">
        <v>9949.3069236800002</v>
      </c>
      <c r="G5" s="2">
        <v>31109</v>
      </c>
      <c r="H5" s="19">
        <f t="shared" si="0"/>
        <v>0.68020000000000003</v>
      </c>
    </row>
    <row r="6" spans="1:8" x14ac:dyDescent="0.25">
      <c r="A6" t="s">
        <v>173</v>
      </c>
      <c r="B6" s="4" t="s">
        <v>174</v>
      </c>
      <c r="C6" t="s">
        <v>195</v>
      </c>
      <c r="D6">
        <v>73</v>
      </c>
      <c r="E6" t="s">
        <v>717</v>
      </c>
      <c r="F6" s="15">
        <v>13117.09535503</v>
      </c>
      <c r="G6" s="2">
        <v>37170</v>
      </c>
      <c r="H6" s="19">
        <f t="shared" si="0"/>
        <v>0.64710000000000001</v>
      </c>
    </row>
    <row r="7" spans="1:8" x14ac:dyDescent="0.25">
      <c r="A7" t="s">
        <v>175</v>
      </c>
      <c r="B7" t="s">
        <v>176</v>
      </c>
      <c r="C7" t="s">
        <v>196</v>
      </c>
      <c r="D7">
        <v>73</v>
      </c>
      <c r="E7" t="s">
        <v>685</v>
      </c>
      <c r="F7" s="15">
        <v>15020.93748379</v>
      </c>
      <c r="G7" s="2">
        <v>42146</v>
      </c>
      <c r="H7" s="19">
        <f t="shared" si="0"/>
        <v>0.64359999999999995</v>
      </c>
    </row>
    <row r="8" spans="1:8" x14ac:dyDescent="0.25">
      <c r="A8" t="s">
        <v>177</v>
      </c>
      <c r="B8" t="s">
        <v>178</v>
      </c>
      <c r="C8" t="s">
        <v>196</v>
      </c>
      <c r="D8">
        <v>90</v>
      </c>
      <c r="E8" t="s">
        <v>718</v>
      </c>
      <c r="F8" s="15">
        <v>17359.448967100001</v>
      </c>
      <c r="G8" s="2">
        <v>51982</v>
      </c>
      <c r="H8" s="19">
        <f t="shared" si="0"/>
        <v>0.66600000000000004</v>
      </c>
    </row>
    <row r="9" spans="1:8" x14ac:dyDescent="0.25">
      <c r="A9" t="s">
        <v>179</v>
      </c>
      <c r="B9" t="s">
        <v>180</v>
      </c>
      <c r="C9" t="s">
        <v>197</v>
      </c>
      <c r="D9">
        <v>73</v>
      </c>
      <c r="E9" t="s">
        <v>719</v>
      </c>
      <c r="F9" s="15">
        <v>15343.756477090001</v>
      </c>
      <c r="G9" s="2">
        <v>44022</v>
      </c>
      <c r="H9" s="19">
        <f t="shared" si="0"/>
        <v>0.65149999999999997</v>
      </c>
    </row>
    <row r="10" spans="1:8" x14ac:dyDescent="0.25">
      <c r="A10" t="s">
        <v>181</v>
      </c>
      <c r="B10" t="s">
        <v>182</v>
      </c>
      <c r="C10" t="s">
        <v>197</v>
      </c>
      <c r="D10">
        <v>90</v>
      </c>
      <c r="E10" t="s">
        <v>720</v>
      </c>
      <c r="F10" s="15">
        <v>17902.67516635</v>
      </c>
      <c r="G10" s="2">
        <v>53622</v>
      </c>
      <c r="H10" s="19">
        <f t="shared" si="0"/>
        <v>0.66610000000000003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52EC0-78E2-4227-94D1-113308784769}">
  <dimension ref="A1:I8"/>
  <sheetViews>
    <sheetView zoomScaleNormal="100" workbookViewId="0">
      <selection activeCell="E14" sqref="E14"/>
    </sheetView>
  </sheetViews>
  <sheetFormatPr defaultRowHeight="15" x14ac:dyDescent="0.25"/>
  <cols>
    <col min="1" max="1" width="17.42578125" bestFit="1" customWidth="1"/>
    <col min="2" max="2" width="53.85546875" bestFit="1" customWidth="1"/>
    <col min="3" max="3" width="12.140625" customWidth="1"/>
    <col min="4" max="4" width="13.5703125" customWidth="1"/>
    <col min="5" max="5" width="19.140625" bestFit="1" customWidth="1"/>
    <col min="6" max="6" width="10.5703125" bestFit="1" customWidth="1"/>
    <col min="7" max="7" width="10.5703125" customWidth="1"/>
    <col min="9" max="9" width="8.85546875" style="19"/>
  </cols>
  <sheetData>
    <row r="1" spans="1:9" x14ac:dyDescent="0.25">
      <c r="A1" s="3" t="s">
        <v>0</v>
      </c>
      <c r="B1" s="3" t="s">
        <v>1</v>
      </c>
      <c r="C1" s="3" t="s">
        <v>421</v>
      </c>
      <c r="D1" s="3" t="s">
        <v>199</v>
      </c>
      <c r="E1" s="3" t="s">
        <v>187</v>
      </c>
      <c r="F1" s="3" t="s">
        <v>188</v>
      </c>
      <c r="G1" s="3" t="s">
        <v>747</v>
      </c>
      <c r="H1" s="3" t="s">
        <v>2</v>
      </c>
      <c r="I1" s="23" t="s">
        <v>749</v>
      </c>
    </row>
    <row r="2" spans="1:9" x14ac:dyDescent="0.25">
      <c r="A2" t="s">
        <v>5</v>
      </c>
      <c r="B2" t="s">
        <v>6</v>
      </c>
      <c r="C2" t="s">
        <v>422</v>
      </c>
      <c r="D2" t="s">
        <v>194</v>
      </c>
      <c r="E2" s="1" t="s">
        <v>192</v>
      </c>
      <c r="F2" t="s">
        <v>190</v>
      </c>
      <c r="G2" s="15">
        <v>20240.692124320001</v>
      </c>
      <c r="H2" s="2">
        <v>40487</v>
      </c>
      <c r="I2" s="19">
        <f>ROUND(((H2-G2)/H2),4)</f>
        <v>0.50009999999999999</v>
      </c>
    </row>
    <row r="3" spans="1:9" x14ac:dyDescent="0.25">
      <c r="A3" t="s">
        <v>7</v>
      </c>
      <c r="B3" t="s">
        <v>8</v>
      </c>
      <c r="C3" t="s">
        <v>422</v>
      </c>
      <c r="D3" t="s">
        <v>194</v>
      </c>
      <c r="E3" s="1" t="s">
        <v>191</v>
      </c>
      <c r="F3" t="s">
        <v>190</v>
      </c>
      <c r="G3" s="15">
        <v>4581.2075862000002</v>
      </c>
      <c r="H3" s="2">
        <v>9507</v>
      </c>
      <c r="I3" s="19">
        <f t="shared" ref="I3:I8" si="0">ROUND(((H3-G3)/H3),4)</f>
        <v>0.5181</v>
      </c>
    </row>
    <row r="4" spans="1:9" x14ac:dyDescent="0.25">
      <c r="A4" t="s">
        <v>19</v>
      </c>
      <c r="B4" t="s">
        <v>20</v>
      </c>
      <c r="C4" t="s">
        <v>422</v>
      </c>
      <c r="D4" t="s">
        <v>198</v>
      </c>
      <c r="E4" s="1" t="s">
        <v>191</v>
      </c>
      <c r="F4" t="s">
        <v>190</v>
      </c>
      <c r="G4" s="15">
        <v>7707.7053601199996</v>
      </c>
      <c r="H4" s="2">
        <v>16041</v>
      </c>
      <c r="I4" s="19">
        <f t="shared" si="0"/>
        <v>0.51949999999999996</v>
      </c>
    </row>
    <row r="5" spans="1:9" x14ac:dyDescent="0.25">
      <c r="A5" t="s">
        <v>21</v>
      </c>
      <c r="B5" t="s">
        <v>22</v>
      </c>
      <c r="C5" t="s">
        <v>422</v>
      </c>
      <c r="D5" t="s">
        <v>198</v>
      </c>
      <c r="E5" s="1" t="s">
        <v>191</v>
      </c>
      <c r="F5" t="s">
        <v>190</v>
      </c>
      <c r="G5" s="15">
        <v>1121.539908</v>
      </c>
      <c r="H5" s="2">
        <v>2793</v>
      </c>
      <c r="I5" s="19">
        <f t="shared" si="0"/>
        <v>0.59840000000000004</v>
      </c>
    </row>
    <row r="6" spans="1:9" x14ac:dyDescent="0.25">
      <c r="A6" t="s">
        <v>23</v>
      </c>
      <c r="B6" t="s">
        <v>24</v>
      </c>
      <c r="C6" t="s">
        <v>422</v>
      </c>
      <c r="D6" t="s">
        <v>198</v>
      </c>
      <c r="E6" s="1" t="s">
        <v>191</v>
      </c>
      <c r="F6" t="s">
        <v>190</v>
      </c>
      <c r="G6" s="15">
        <v>1260.8093040000001</v>
      </c>
      <c r="H6" s="2">
        <v>2605</v>
      </c>
      <c r="I6" s="19">
        <f t="shared" si="0"/>
        <v>0.51600000000000001</v>
      </c>
    </row>
    <row r="7" spans="1:9" x14ac:dyDescent="0.25">
      <c r="A7" t="s">
        <v>17</v>
      </c>
      <c r="B7" t="s">
        <v>18</v>
      </c>
      <c r="C7" t="s">
        <v>422</v>
      </c>
      <c r="D7" t="s">
        <v>198</v>
      </c>
      <c r="E7" s="2" t="s">
        <v>191</v>
      </c>
      <c r="F7" t="s">
        <v>715</v>
      </c>
      <c r="G7" s="15">
        <v>11550.8722277</v>
      </c>
      <c r="H7" s="2">
        <v>110044</v>
      </c>
      <c r="I7" s="19">
        <f t="shared" si="0"/>
        <v>0.89500000000000002</v>
      </c>
    </row>
    <row r="8" spans="1:9" x14ac:dyDescent="0.25">
      <c r="A8" t="s">
        <v>25</v>
      </c>
      <c r="B8" t="s">
        <v>26</v>
      </c>
      <c r="C8" t="s">
        <v>422</v>
      </c>
      <c r="D8" t="s">
        <v>198</v>
      </c>
      <c r="E8" s="2" t="s">
        <v>191</v>
      </c>
      <c r="F8" t="s">
        <v>190</v>
      </c>
      <c r="G8" s="15">
        <v>2268.5802637699999</v>
      </c>
      <c r="H8" s="2">
        <v>5969</v>
      </c>
      <c r="I8" s="19">
        <f t="shared" si="0"/>
        <v>0.61990000000000001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460FD-853F-48A8-BB18-DB58CBD5BD31}">
  <dimension ref="A1:E94"/>
  <sheetViews>
    <sheetView zoomScaleNormal="100" workbookViewId="0">
      <pane ySplit="1" topLeftCell="A66" activePane="bottomLeft" state="frozen"/>
      <selection pane="bottomLeft" activeCell="C84" sqref="C84:C85"/>
    </sheetView>
  </sheetViews>
  <sheetFormatPr defaultRowHeight="15" x14ac:dyDescent="0.25"/>
  <cols>
    <col min="1" max="1" width="17.42578125" bestFit="1" customWidth="1"/>
    <col min="2" max="2" width="84.140625" bestFit="1" customWidth="1"/>
    <col min="3" max="3" width="14.42578125" style="17" customWidth="1"/>
    <col min="4" max="4" width="15.85546875" customWidth="1"/>
    <col min="5" max="5" width="18.5703125" customWidth="1"/>
  </cols>
  <sheetData>
    <row r="1" spans="1:5" x14ac:dyDescent="0.25">
      <c r="A1" s="3" t="s">
        <v>0</v>
      </c>
      <c r="B1" s="3" t="s">
        <v>1</v>
      </c>
      <c r="C1" s="16" t="s">
        <v>747</v>
      </c>
      <c r="D1" s="3" t="s">
        <v>748</v>
      </c>
      <c r="E1" s="3" t="s">
        <v>749</v>
      </c>
    </row>
    <row r="2" spans="1:5" x14ac:dyDescent="0.25">
      <c r="A2" t="s">
        <v>3</v>
      </c>
      <c r="B2" t="s">
        <v>4</v>
      </c>
      <c r="C2" s="15">
        <v>61416.95353803</v>
      </c>
      <c r="D2" s="18">
        <v>131928.63739739786</v>
      </c>
      <c r="E2" s="19">
        <f>ROUND(((D2-C2)/D2), 4)</f>
        <v>0.53449999999999998</v>
      </c>
    </row>
    <row r="3" spans="1:5" x14ac:dyDescent="0.25">
      <c r="A3" t="s">
        <v>5</v>
      </c>
      <c r="B3" t="s">
        <v>6</v>
      </c>
      <c r="C3" s="15">
        <v>20240.692124320001</v>
      </c>
      <c r="D3" s="18">
        <v>40486.788564877585</v>
      </c>
      <c r="E3" s="19">
        <f t="shared" ref="E3:E66" si="0">ROUND(((D3-C3)/D3), 4)</f>
        <v>0.50009999999999999</v>
      </c>
    </row>
    <row r="4" spans="1:5" x14ac:dyDescent="0.25">
      <c r="A4" t="s">
        <v>7</v>
      </c>
      <c r="B4" t="s">
        <v>8</v>
      </c>
      <c r="C4" s="15">
        <v>4581.2075862000002</v>
      </c>
      <c r="D4" s="18">
        <v>9506.6136624164355</v>
      </c>
      <c r="E4" s="19">
        <f t="shared" si="0"/>
        <v>0.5181</v>
      </c>
    </row>
    <row r="5" spans="1:5" x14ac:dyDescent="0.25">
      <c r="A5" t="s">
        <v>9</v>
      </c>
      <c r="B5" t="s">
        <v>10</v>
      </c>
      <c r="C5" s="15">
        <v>1241.5396056</v>
      </c>
      <c r="D5" s="18">
        <v>2841.8306395225986</v>
      </c>
      <c r="E5" s="19">
        <f t="shared" si="0"/>
        <v>0.56310000000000004</v>
      </c>
    </row>
    <row r="6" spans="1:5" x14ac:dyDescent="0.25">
      <c r="A6" t="s">
        <v>11</v>
      </c>
      <c r="B6" t="s">
        <v>12</v>
      </c>
      <c r="C6" s="15">
        <v>873.48072960000002</v>
      </c>
      <c r="D6" s="18">
        <v>2841.8306395225986</v>
      </c>
      <c r="E6" s="19">
        <f t="shared" si="0"/>
        <v>0.69259999999999999</v>
      </c>
    </row>
    <row r="7" spans="1:5" x14ac:dyDescent="0.25">
      <c r="A7" t="s">
        <v>13</v>
      </c>
      <c r="B7" t="s">
        <v>14</v>
      </c>
      <c r="C7" s="15">
        <v>831.69347073999995</v>
      </c>
      <c r="D7" s="18">
        <v>2003.3383627827004</v>
      </c>
      <c r="E7" s="19">
        <f t="shared" si="0"/>
        <v>0.58479999999999999</v>
      </c>
    </row>
    <row r="8" spans="1:5" x14ac:dyDescent="0.25">
      <c r="A8" t="s">
        <v>15</v>
      </c>
      <c r="B8" t="s">
        <v>16</v>
      </c>
      <c r="C8" s="15">
        <v>12401.8341975</v>
      </c>
      <c r="D8" s="18">
        <v>26072.817157000292</v>
      </c>
      <c r="E8" s="19">
        <f t="shared" si="0"/>
        <v>0.52429999999999999</v>
      </c>
    </row>
    <row r="9" spans="1:5" x14ac:dyDescent="0.25">
      <c r="A9" t="s">
        <v>17</v>
      </c>
      <c r="B9" t="s">
        <v>18</v>
      </c>
      <c r="C9" s="15">
        <v>11550.8722277</v>
      </c>
      <c r="D9" s="18">
        <v>38739.130434782608</v>
      </c>
      <c r="E9" s="19">
        <f t="shared" si="0"/>
        <v>0.70179999999999998</v>
      </c>
    </row>
    <row r="10" spans="1:5" x14ac:dyDescent="0.25">
      <c r="A10" t="s">
        <v>19</v>
      </c>
      <c r="B10" t="s">
        <v>20</v>
      </c>
      <c r="C10" s="15">
        <v>7707.7053601199996</v>
      </c>
      <c r="D10" s="18">
        <v>16041.417083111301</v>
      </c>
      <c r="E10" s="19">
        <f t="shared" si="0"/>
        <v>0.51949999999999996</v>
      </c>
    </row>
    <row r="11" spans="1:5" x14ac:dyDescent="0.25">
      <c r="A11" t="s">
        <v>21</v>
      </c>
      <c r="B11" t="s">
        <v>22</v>
      </c>
      <c r="C11" s="15">
        <v>1121.539908</v>
      </c>
      <c r="D11" s="18">
        <v>2793.0913043478263</v>
      </c>
      <c r="E11" s="19">
        <f t="shared" si="0"/>
        <v>0.59850000000000003</v>
      </c>
    </row>
    <row r="12" spans="1:5" x14ac:dyDescent="0.25">
      <c r="A12" t="s">
        <v>23</v>
      </c>
      <c r="B12" t="s">
        <v>24</v>
      </c>
      <c r="C12" s="15">
        <v>1260.8093040000001</v>
      </c>
      <c r="D12" s="18">
        <v>2605.0396334122661</v>
      </c>
      <c r="E12" s="19">
        <f t="shared" si="0"/>
        <v>0.51600000000000001</v>
      </c>
    </row>
    <row r="13" spans="1:5" x14ac:dyDescent="0.25">
      <c r="A13" t="s">
        <v>25</v>
      </c>
      <c r="B13" t="s">
        <v>26</v>
      </c>
      <c r="C13" s="15">
        <v>2268.5802637699999</v>
      </c>
      <c r="D13" s="18">
        <v>5968.6148902098585</v>
      </c>
      <c r="E13" s="19">
        <f t="shared" si="0"/>
        <v>0.61990000000000001</v>
      </c>
    </row>
    <row r="14" spans="1:5" x14ac:dyDescent="0.25">
      <c r="A14" t="s">
        <v>27</v>
      </c>
      <c r="B14" t="s">
        <v>28</v>
      </c>
      <c r="C14" s="15">
        <v>482.47377740000002</v>
      </c>
      <c r="D14" s="18">
        <v>1361.0620579506028</v>
      </c>
      <c r="E14" s="19">
        <f t="shared" si="0"/>
        <v>0.64549999999999996</v>
      </c>
    </row>
    <row r="15" spans="1:5" x14ac:dyDescent="0.25">
      <c r="A15" t="s">
        <v>29</v>
      </c>
      <c r="B15" t="s">
        <v>30</v>
      </c>
      <c r="C15" s="15">
        <v>932.78170571999999</v>
      </c>
      <c r="D15" s="18">
        <v>2014.4234528929881</v>
      </c>
      <c r="E15" s="19">
        <f t="shared" si="0"/>
        <v>0.53690000000000004</v>
      </c>
    </row>
    <row r="16" spans="1:5" x14ac:dyDescent="0.25">
      <c r="A16" t="s">
        <v>31</v>
      </c>
      <c r="B16" t="s">
        <v>32</v>
      </c>
      <c r="C16" s="15">
        <v>447.22770215000003</v>
      </c>
      <c r="D16" s="18">
        <v>1840.7806521463074</v>
      </c>
      <c r="E16" s="19">
        <f t="shared" si="0"/>
        <v>0.75700000000000001</v>
      </c>
    </row>
    <row r="17" spans="1:5" x14ac:dyDescent="0.25">
      <c r="A17" t="s">
        <v>33</v>
      </c>
      <c r="B17" t="s">
        <v>34</v>
      </c>
      <c r="C17" s="15">
        <v>1454.9584616100001</v>
      </c>
      <c r="D17" s="18">
        <v>3346.8739129932856</v>
      </c>
      <c r="E17" s="19">
        <f t="shared" si="0"/>
        <v>0.56530000000000002</v>
      </c>
    </row>
    <row r="18" spans="1:5" x14ac:dyDescent="0.25">
      <c r="A18" t="s">
        <v>35</v>
      </c>
      <c r="B18" t="s">
        <v>36</v>
      </c>
      <c r="C18" s="15">
        <v>557.61235199999999</v>
      </c>
      <c r="D18" s="18">
        <v>1316.852413378813</v>
      </c>
      <c r="E18" s="19">
        <f t="shared" si="0"/>
        <v>0.5766</v>
      </c>
    </row>
    <row r="19" spans="1:5" x14ac:dyDescent="0.25">
      <c r="A19" t="s">
        <v>37</v>
      </c>
      <c r="B19" t="s">
        <v>38</v>
      </c>
      <c r="C19" s="15">
        <v>574.74970440000004</v>
      </c>
      <c r="D19" s="18">
        <v>1479.1304347826087</v>
      </c>
      <c r="E19" s="19">
        <f t="shared" si="0"/>
        <v>0.61140000000000005</v>
      </c>
    </row>
    <row r="20" spans="1:5" x14ac:dyDescent="0.25">
      <c r="A20" t="s">
        <v>39</v>
      </c>
      <c r="B20" t="s">
        <v>40</v>
      </c>
      <c r="C20" s="15">
        <v>1591.4067470499999</v>
      </c>
      <c r="D20" s="18">
        <v>5992.5410296136779</v>
      </c>
      <c r="E20" s="19">
        <f t="shared" si="0"/>
        <v>0.73440000000000005</v>
      </c>
    </row>
    <row r="21" spans="1:5" x14ac:dyDescent="0.25">
      <c r="A21" t="s">
        <v>41</v>
      </c>
      <c r="B21" t="s">
        <v>42</v>
      </c>
      <c r="C21" s="15">
        <v>409.04771992000002</v>
      </c>
      <c r="D21" s="18">
        <v>852.25753570150437</v>
      </c>
      <c r="E21" s="19">
        <f t="shared" si="0"/>
        <v>0.52</v>
      </c>
    </row>
    <row r="22" spans="1:5" x14ac:dyDescent="0.25">
      <c r="A22" t="s">
        <v>43</v>
      </c>
      <c r="B22" t="s">
        <v>44</v>
      </c>
      <c r="C22" s="15">
        <v>451.34907949000001</v>
      </c>
      <c r="D22" s="18">
        <v>1124.340455146182</v>
      </c>
      <c r="E22" s="19">
        <f t="shared" si="0"/>
        <v>0.59860000000000002</v>
      </c>
    </row>
    <row r="23" spans="1:5" x14ac:dyDescent="0.25">
      <c r="A23" t="s">
        <v>45</v>
      </c>
      <c r="B23" t="s">
        <v>46</v>
      </c>
      <c r="C23" s="15">
        <v>608.40704625000001</v>
      </c>
      <c r="D23" s="18">
        <v>1667.1615679097799</v>
      </c>
      <c r="E23" s="19">
        <f t="shared" si="0"/>
        <v>0.6351</v>
      </c>
    </row>
    <row r="24" spans="1:5" x14ac:dyDescent="0.25">
      <c r="A24" t="s">
        <v>47</v>
      </c>
      <c r="B24" t="s">
        <v>48</v>
      </c>
      <c r="C24" s="15">
        <v>319.31266763000002</v>
      </c>
      <c r="D24" s="18">
        <v>1124.340455146182</v>
      </c>
      <c r="E24" s="19">
        <f t="shared" si="0"/>
        <v>0.71599999999999997</v>
      </c>
    </row>
    <row r="25" spans="1:5" x14ac:dyDescent="0.25">
      <c r="A25" t="s">
        <v>49</v>
      </c>
      <c r="B25" t="s">
        <v>50</v>
      </c>
      <c r="C25" s="15">
        <v>1472.64885858</v>
      </c>
      <c r="D25" s="18">
        <v>3203.2657007061757</v>
      </c>
      <c r="E25" s="19">
        <f t="shared" si="0"/>
        <v>0.5403</v>
      </c>
    </row>
    <row r="26" spans="1:5" x14ac:dyDescent="0.25">
      <c r="A26" t="s">
        <v>51</v>
      </c>
      <c r="B26" t="s">
        <v>52</v>
      </c>
      <c r="C26" s="15">
        <v>1717.4074827500001</v>
      </c>
      <c r="D26" s="18">
        <v>3763.001902842117</v>
      </c>
      <c r="E26" s="19">
        <f t="shared" si="0"/>
        <v>0.54359999999999997</v>
      </c>
    </row>
    <row r="27" spans="1:5" x14ac:dyDescent="0.25">
      <c r="A27" t="s">
        <v>53</v>
      </c>
      <c r="B27" t="s">
        <v>54</v>
      </c>
      <c r="C27" s="15">
        <v>21.595497999999999</v>
      </c>
      <c r="D27" s="18">
        <v>105.63570787885058</v>
      </c>
      <c r="E27" s="19">
        <f t="shared" si="0"/>
        <v>0.79559999999999997</v>
      </c>
    </row>
    <row r="28" spans="1:5" x14ac:dyDescent="0.25">
      <c r="A28" t="s">
        <v>55</v>
      </c>
      <c r="B28" t="s">
        <v>56</v>
      </c>
      <c r="C28" s="15">
        <v>31.346775999999998</v>
      </c>
      <c r="D28" s="18">
        <v>118.18648505257539</v>
      </c>
      <c r="E28" s="19">
        <f t="shared" si="0"/>
        <v>0.73480000000000001</v>
      </c>
    </row>
    <row r="29" spans="1:5" x14ac:dyDescent="0.25">
      <c r="A29" t="s">
        <v>57</v>
      </c>
      <c r="B29" t="s">
        <v>58</v>
      </c>
      <c r="C29" s="15">
        <v>41.098053999999998</v>
      </c>
      <c r="D29" s="18">
        <v>144.33393749783545</v>
      </c>
      <c r="E29" s="19">
        <f t="shared" si="0"/>
        <v>0.71530000000000005</v>
      </c>
    </row>
    <row r="30" spans="1:5" x14ac:dyDescent="0.25">
      <c r="A30" t="s">
        <v>59</v>
      </c>
      <c r="B30" t="s">
        <v>60</v>
      </c>
      <c r="C30" s="15">
        <v>82.979331999999999</v>
      </c>
      <c r="D30" s="18">
        <v>207.984307450297</v>
      </c>
      <c r="E30" s="19">
        <f t="shared" si="0"/>
        <v>0.60099999999999998</v>
      </c>
    </row>
    <row r="31" spans="1:5" x14ac:dyDescent="0.25">
      <c r="A31" t="s">
        <v>61</v>
      </c>
      <c r="B31" t="s">
        <v>62</v>
      </c>
      <c r="C31" s="15">
        <v>92.730609999999999</v>
      </c>
      <c r="D31" s="18">
        <v>260.03018898419549</v>
      </c>
      <c r="E31" s="19">
        <f t="shared" si="0"/>
        <v>0.64339999999999997</v>
      </c>
    </row>
    <row r="32" spans="1:5" x14ac:dyDescent="0.25">
      <c r="A32" t="s">
        <v>63</v>
      </c>
      <c r="B32" t="s">
        <v>64</v>
      </c>
      <c r="C32" s="15">
        <v>157.20699999999999</v>
      </c>
      <c r="D32" s="18">
        <v>404.01549378276087</v>
      </c>
      <c r="E32" s="19">
        <f t="shared" si="0"/>
        <v>0.6109</v>
      </c>
    </row>
    <row r="33" spans="1:5" x14ac:dyDescent="0.25">
      <c r="A33" t="s">
        <v>65</v>
      </c>
      <c r="B33" t="s">
        <v>66</v>
      </c>
      <c r="C33" s="15">
        <v>41539.754683799998</v>
      </c>
      <c r="D33" s="18">
        <v>110043.62050973685</v>
      </c>
      <c r="E33" s="19">
        <f t="shared" si="0"/>
        <v>0.62250000000000005</v>
      </c>
    </row>
    <row r="34" spans="1:5" x14ac:dyDescent="0.25">
      <c r="A34" t="s">
        <v>67</v>
      </c>
      <c r="B34" t="s">
        <v>68</v>
      </c>
      <c r="C34" s="15">
        <v>10592.616879339999</v>
      </c>
      <c r="D34" s="18">
        <v>23263.961194268093</v>
      </c>
      <c r="E34" s="19">
        <f t="shared" si="0"/>
        <v>0.54469999999999996</v>
      </c>
    </row>
    <row r="35" spans="1:5" x14ac:dyDescent="0.25">
      <c r="A35" t="s">
        <v>69</v>
      </c>
      <c r="B35" t="s">
        <v>70</v>
      </c>
      <c r="C35" s="15">
        <v>19244.664010230001</v>
      </c>
      <c r="D35" s="18">
        <v>40772.665329172632</v>
      </c>
      <c r="E35" s="19">
        <f t="shared" si="0"/>
        <v>0.52800000000000002</v>
      </c>
    </row>
    <row r="36" spans="1:5" x14ac:dyDescent="0.25">
      <c r="A36" t="s">
        <v>71</v>
      </c>
      <c r="B36" t="s">
        <v>72</v>
      </c>
      <c r="C36" s="15">
        <v>9276.7695606199995</v>
      </c>
      <c r="D36" s="18">
        <v>22206.508412710449</v>
      </c>
      <c r="E36" s="19">
        <f t="shared" si="0"/>
        <v>0.58220000000000005</v>
      </c>
    </row>
    <row r="37" spans="1:5" x14ac:dyDescent="0.25">
      <c r="A37" t="s">
        <v>73</v>
      </c>
      <c r="B37" t="s">
        <v>74</v>
      </c>
      <c r="C37" s="15">
        <v>18751.327004160001</v>
      </c>
      <c r="D37" s="18">
        <v>38919.362359664781</v>
      </c>
      <c r="E37" s="19">
        <f t="shared" si="0"/>
        <v>0.51819999999999999</v>
      </c>
    </row>
    <row r="38" spans="1:5" x14ac:dyDescent="0.25">
      <c r="A38" t="s">
        <v>75</v>
      </c>
      <c r="B38" t="s">
        <v>76</v>
      </c>
      <c r="C38" s="15">
        <v>12174.196293999999</v>
      </c>
      <c r="D38" s="18">
        <v>16696.423148719339</v>
      </c>
      <c r="E38" s="19">
        <f t="shared" si="0"/>
        <v>0.27089999999999997</v>
      </c>
    </row>
    <row r="39" spans="1:5" x14ac:dyDescent="0.25">
      <c r="A39" t="s">
        <v>77</v>
      </c>
      <c r="B39" t="s">
        <v>78</v>
      </c>
      <c r="C39" s="15">
        <v>4542.40155968</v>
      </c>
      <c r="D39" s="18">
        <v>10643.969757308581</v>
      </c>
      <c r="E39" s="19">
        <f t="shared" si="0"/>
        <v>0.57320000000000004</v>
      </c>
    </row>
    <row r="40" spans="1:5" x14ac:dyDescent="0.25">
      <c r="A40" t="s">
        <v>79</v>
      </c>
      <c r="B40" t="s">
        <v>80</v>
      </c>
      <c r="C40" s="15">
        <v>2274.4927978999999</v>
      </c>
      <c r="D40" s="18">
        <v>5530.6901680132814</v>
      </c>
      <c r="E40" s="19">
        <f t="shared" si="0"/>
        <v>0.58879999999999999</v>
      </c>
    </row>
    <row r="41" spans="1:5" x14ac:dyDescent="0.25">
      <c r="A41" t="s">
        <v>81</v>
      </c>
      <c r="B41" t="s">
        <v>82</v>
      </c>
      <c r="C41" s="15">
        <v>1616.1579240000001</v>
      </c>
      <c r="D41" s="18">
        <v>3155.6239751079547</v>
      </c>
      <c r="E41" s="19">
        <f t="shared" si="0"/>
        <v>0.48780000000000001</v>
      </c>
    </row>
    <row r="42" spans="1:5" x14ac:dyDescent="0.25">
      <c r="A42" t="s">
        <v>83</v>
      </c>
      <c r="B42" t="s">
        <v>84</v>
      </c>
      <c r="C42" s="15">
        <v>1467.1386575500001</v>
      </c>
      <c r="D42" s="18">
        <v>3489.5524380823422</v>
      </c>
      <c r="E42" s="19">
        <f t="shared" si="0"/>
        <v>0.5796</v>
      </c>
    </row>
    <row r="43" spans="1:5" x14ac:dyDescent="0.25">
      <c r="A43" t="s">
        <v>85</v>
      </c>
      <c r="B43" t="s">
        <v>86</v>
      </c>
      <c r="C43" s="15">
        <v>86597.121591279996</v>
      </c>
      <c r="D43" s="18">
        <v>205775.90191754894</v>
      </c>
      <c r="E43" s="19">
        <f t="shared" si="0"/>
        <v>0.57920000000000005</v>
      </c>
    </row>
    <row r="44" spans="1:5" x14ac:dyDescent="0.25">
      <c r="A44" t="s">
        <v>87</v>
      </c>
      <c r="B44" t="s">
        <v>88</v>
      </c>
      <c r="C44" s="15">
        <v>15389.500035380001</v>
      </c>
      <c r="D44" s="18">
        <v>38919.362359664781</v>
      </c>
      <c r="E44" s="19">
        <f t="shared" si="0"/>
        <v>0.60460000000000003</v>
      </c>
    </row>
    <row r="45" spans="1:5" x14ac:dyDescent="0.25">
      <c r="A45" t="s">
        <v>89</v>
      </c>
      <c r="B45" t="s">
        <v>90</v>
      </c>
      <c r="C45" s="15">
        <v>28015.56478638</v>
      </c>
      <c r="D45" s="18">
        <v>61442.837187287158</v>
      </c>
      <c r="E45" s="19">
        <f t="shared" si="0"/>
        <v>0.54400000000000004</v>
      </c>
    </row>
    <row r="46" spans="1:5" x14ac:dyDescent="0.25">
      <c r="A46" t="s">
        <v>91</v>
      </c>
      <c r="B46" t="s">
        <v>92</v>
      </c>
      <c r="C46" s="15">
        <v>13415.229057299999</v>
      </c>
      <c r="D46" s="18">
        <v>38919.362359664781</v>
      </c>
      <c r="E46" s="19">
        <f t="shared" si="0"/>
        <v>0.65529999999999999</v>
      </c>
    </row>
    <row r="47" spans="1:5" x14ac:dyDescent="0.25">
      <c r="A47" t="s">
        <v>93</v>
      </c>
      <c r="B47" t="s">
        <v>94</v>
      </c>
      <c r="C47" s="15">
        <v>27275.40545161</v>
      </c>
      <c r="D47" s="18">
        <v>58771.409483492076</v>
      </c>
      <c r="E47" s="19">
        <f t="shared" si="0"/>
        <v>0.53590000000000004</v>
      </c>
    </row>
    <row r="48" spans="1:5" x14ac:dyDescent="0.25">
      <c r="A48" t="s">
        <v>95</v>
      </c>
      <c r="B48" t="s">
        <v>96</v>
      </c>
      <c r="C48" s="15">
        <v>7740.5358340000002</v>
      </c>
      <c r="D48" s="18">
        <v>18546.310940764946</v>
      </c>
      <c r="E48" s="19">
        <f t="shared" si="0"/>
        <v>0.58260000000000001</v>
      </c>
    </row>
    <row r="49" spans="1:5" x14ac:dyDescent="0.25">
      <c r="A49" t="s">
        <v>97</v>
      </c>
      <c r="B49" t="s">
        <v>98</v>
      </c>
      <c r="C49" s="15">
        <v>9161.2388966199997</v>
      </c>
      <c r="D49" s="18">
        <v>20436.421934032474</v>
      </c>
      <c r="E49" s="19">
        <f t="shared" si="0"/>
        <v>0.55169999999999997</v>
      </c>
    </row>
    <row r="50" spans="1:5" x14ac:dyDescent="0.25">
      <c r="A50" t="s">
        <v>99</v>
      </c>
      <c r="B50" t="s">
        <v>100</v>
      </c>
      <c r="C50" s="15">
        <v>4371.0633838200001</v>
      </c>
      <c r="D50" s="18">
        <v>10435.264467949588</v>
      </c>
      <c r="E50" s="19">
        <f t="shared" si="0"/>
        <v>0.58109999999999995</v>
      </c>
    </row>
    <row r="51" spans="1:5" x14ac:dyDescent="0.25">
      <c r="A51" t="s">
        <v>81</v>
      </c>
      <c r="B51" t="s">
        <v>82</v>
      </c>
      <c r="C51" s="15">
        <v>1616.1579240000001</v>
      </c>
      <c r="D51" s="18">
        <v>3155.6239751079547</v>
      </c>
      <c r="E51" s="19">
        <f t="shared" si="0"/>
        <v>0.48780000000000001</v>
      </c>
    </row>
    <row r="52" spans="1:5" x14ac:dyDescent="0.25">
      <c r="A52" t="s">
        <v>83</v>
      </c>
      <c r="B52" t="s">
        <v>84</v>
      </c>
      <c r="C52" s="15">
        <v>1467.1386575500001</v>
      </c>
      <c r="D52" s="18">
        <v>3489.5524380823422</v>
      </c>
      <c r="E52" s="19">
        <f t="shared" si="0"/>
        <v>0.5796</v>
      </c>
    </row>
    <row r="53" spans="1:5" x14ac:dyDescent="0.25">
      <c r="A53" t="s">
        <v>101</v>
      </c>
      <c r="B53" t="s">
        <v>102</v>
      </c>
      <c r="C53" s="15">
        <v>43066.091794350003</v>
      </c>
      <c r="D53" s="18">
        <v>110043.78260869566</v>
      </c>
      <c r="E53" s="19">
        <f t="shared" si="0"/>
        <v>0.60860000000000003</v>
      </c>
    </row>
    <row r="54" spans="1:5" x14ac:dyDescent="0.25">
      <c r="A54" t="s">
        <v>103</v>
      </c>
      <c r="B54" t="s">
        <v>104</v>
      </c>
      <c r="C54" s="15">
        <v>96572.27458841</v>
      </c>
      <c r="D54" s="18">
        <v>211304.34782608695</v>
      </c>
      <c r="E54" s="19">
        <f t="shared" si="0"/>
        <v>0.54300000000000004</v>
      </c>
    </row>
    <row r="55" spans="1:5" x14ac:dyDescent="0.25">
      <c r="A55" t="s">
        <v>105</v>
      </c>
      <c r="B55" t="s">
        <v>106</v>
      </c>
      <c r="C55" s="15">
        <v>6671.6568218299999</v>
      </c>
      <c r="D55" s="18">
        <v>15985.578808034752</v>
      </c>
      <c r="E55" s="19">
        <f t="shared" si="0"/>
        <v>0.58260000000000001</v>
      </c>
    </row>
    <row r="56" spans="1:5" x14ac:dyDescent="0.25">
      <c r="A56" t="s">
        <v>107</v>
      </c>
      <c r="B56" t="s">
        <v>108</v>
      </c>
      <c r="C56" s="15">
        <v>11096.759082209999</v>
      </c>
      <c r="D56" s="18">
        <v>27071.525485309012</v>
      </c>
      <c r="E56" s="19">
        <f t="shared" si="0"/>
        <v>0.59009999999999996</v>
      </c>
    </row>
    <row r="57" spans="1:5" x14ac:dyDescent="0.25">
      <c r="A57" t="s">
        <v>17</v>
      </c>
      <c r="B57" t="s">
        <v>18</v>
      </c>
      <c r="C57" s="15">
        <v>11550.8722277</v>
      </c>
      <c r="D57" s="18">
        <v>38739.130434782608</v>
      </c>
      <c r="E57" s="19">
        <f t="shared" si="0"/>
        <v>0.70179999999999998</v>
      </c>
    </row>
    <row r="58" spans="1:5" x14ac:dyDescent="0.25">
      <c r="A58" t="s">
        <v>109</v>
      </c>
      <c r="B58" t="s">
        <v>110</v>
      </c>
      <c r="C58" s="15">
        <v>13699.220941699999</v>
      </c>
      <c r="D58" s="18">
        <v>46956.521739130432</v>
      </c>
      <c r="E58" s="19">
        <f t="shared" si="0"/>
        <v>0.70830000000000004</v>
      </c>
    </row>
    <row r="59" spans="1:5" x14ac:dyDescent="0.25">
      <c r="A59" t="s">
        <v>111</v>
      </c>
      <c r="B59" t="s">
        <v>112</v>
      </c>
      <c r="C59" s="15">
        <v>488.90547140000001</v>
      </c>
      <c r="D59" s="18">
        <v>1394.5307970805356</v>
      </c>
      <c r="E59" s="19">
        <f t="shared" si="0"/>
        <v>0.64939999999999998</v>
      </c>
    </row>
    <row r="60" spans="1:5" x14ac:dyDescent="0.25">
      <c r="A60" t="s">
        <v>113</v>
      </c>
      <c r="B60" t="s">
        <v>114</v>
      </c>
      <c r="C60" s="15">
        <v>939.21339971999998</v>
      </c>
      <c r="D60" s="18">
        <v>1892.5775103235835</v>
      </c>
      <c r="E60" s="19">
        <f t="shared" si="0"/>
        <v>0.50370000000000004</v>
      </c>
    </row>
    <row r="61" spans="1:5" x14ac:dyDescent="0.25">
      <c r="A61" t="s">
        <v>115</v>
      </c>
      <c r="B61" t="s">
        <v>116</v>
      </c>
      <c r="C61" s="15">
        <v>464.44804414999999</v>
      </c>
      <c r="D61" s="18">
        <v>1673.4369564966428</v>
      </c>
      <c r="E61" s="19">
        <f t="shared" si="0"/>
        <v>0.72250000000000003</v>
      </c>
    </row>
    <row r="62" spans="1:5" x14ac:dyDescent="0.25">
      <c r="A62" t="s">
        <v>117</v>
      </c>
      <c r="B62" t="s">
        <v>118</v>
      </c>
      <c r="C62" s="15">
        <v>435.22114112999998</v>
      </c>
      <c r="D62" s="18">
        <v>1639.96821736671</v>
      </c>
      <c r="E62" s="19">
        <f t="shared" si="0"/>
        <v>0.73460000000000003</v>
      </c>
    </row>
    <row r="63" spans="1:5" x14ac:dyDescent="0.25">
      <c r="A63" t="s">
        <v>119</v>
      </c>
      <c r="B63" t="s">
        <v>120</v>
      </c>
      <c r="C63" s="15">
        <v>1485.6646136100001</v>
      </c>
      <c r="D63" s="18">
        <v>3179.5302173436207</v>
      </c>
      <c r="E63" s="19">
        <f t="shared" si="0"/>
        <v>0.53269999999999995</v>
      </c>
    </row>
    <row r="64" spans="1:5" x14ac:dyDescent="0.25">
      <c r="A64" t="s">
        <v>121</v>
      </c>
      <c r="B64" t="s">
        <v>122</v>
      </c>
      <c r="C64" s="15">
        <v>582.92417999999998</v>
      </c>
      <c r="D64" s="18">
        <v>1467.3249114543503</v>
      </c>
      <c r="E64" s="19">
        <f t="shared" si="0"/>
        <v>0.60270000000000001</v>
      </c>
    </row>
    <row r="65" spans="1:5" x14ac:dyDescent="0.25">
      <c r="A65" t="s">
        <v>123</v>
      </c>
      <c r="B65" t="s">
        <v>124</v>
      </c>
      <c r="C65" s="15">
        <v>600.06153240000003</v>
      </c>
      <c r="D65" s="18">
        <v>1497.8596090327405</v>
      </c>
      <c r="E65" s="19">
        <f t="shared" si="0"/>
        <v>0.59940000000000004</v>
      </c>
    </row>
    <row r="66" spans="1:5" x14ac:dyDescent="0.25">
      <c r="A66" t="s">
        <v>125</v>
      </c>
      <c r="B66" t="s">
        <v>126</v>
      </c>
      <c r="C66" s="15">
        <v>4147.6954781000004</v>
      </c>
      <c r="D66" s="18">
        <v>9432.2832380276031</v>
      </c>
      <c r="E66" s="19">
        <f t="shared" si="0"/>
        <v>0.56030000000000002</v>
      </c>
    </row>
    <row r="67" spans="1:5" x14ac:dyDescent="0.25">
      <c r="A67" t="s">
        <v>127</v>
      </c>
      <c r="B67" t="s">
        <v>128</v>
      </c>
      <c r="C67" s="15">
        <v>1629.52954105</v>
      </c>
      <c r="D67" s="18">
        <v>6128.8822647068318</v>
      </c>
      <c r="E67" s="19">
        <f t="shared" ref="E67:E94" si="1">ROUND(((D67-C67)/D67), 4)</f>
        <v>0.73409999999999997</v>
      </c>
    </row>
    <row r="68" spans="1:5" x14ac:dyDescent="0.25">
      <c r="A68" t="s">
        <v>129</v>
      </c>
      <c r="B68" t="s">
        <v>130</v>
      </c>
      <c r="C68" s="15">
        <v>2940.7736020000002</v>
      </c>
      <c r="D68" s="18">
        <v>8433.3538149001179</v>
      </c>
      <c r="E68" s="19">
        <f t="shared" si="1"/>
        <v>0.65129999999999999</v>
      </c>
    </row>
    <row r="69" spans="1:5" x14ac:dyDescent="0.25">
      <c r="A69" t="s">
        <v>131</v>
      </c>
      <c r="B69" t="s">
        <v>132</v>
      </c>
      <c r="C69" s="15">
        <v>3142.0336673900001</v>
      </c>
      <c r="D69" s="18">
        <v>8543.1459598573583</v>
      </c>
      <c r="E69" s="19">
        <f t="shared" si="1"/>
        <v>0.63219999999999998</v>
      </c>
    </row>
    <row r="70" spans="1:5" x14ac:dyDescent="0.25">
      <c r="A70" t="s">
        <v>133</v>
      </c>
      <c r="B70" t="s">
        <v>134</v>
      </c>
      <c r="C70" s="15">
        <v>401.23938634000001</v>
      </c>
      <c r="D70" s="18">
        <v>1281.2251698177422</v>
      </c>
      <c r="E70" s="19">
        <f t="shared" si="1"/>
        <v>0.68679999999999997</v>
      </c>
    </row>
    <row r="71" spans="1:5" x14ac:dyDescent="0.25">
      <c r="A71" t="s">
        <v>135</v>
      </c>
      <c r="B71" t="s">
        <v>136</v>
      </c>
      <c r="C71" s="15">
        <v>610.11276808000002</v>
      </c>
      <c r="D71" s="18">
        <v>1376.9995527743799</v>
      </c>
      <c r="E71" s="19">
        <f t="shared" si="1"/>
        <v>0.55689999999999995</v>
      </c>
    </row>
    <row r="72" spans="1:5" x14ac:dyDescent="0.25">
      <c r="A72" t="s">
        <v>137</v>
      </c>
      <c r="B72" t="s">
        <v>138</v>
      </c>
      <c r="C72" s="15">
        <v>850.37379644999999</v>
      </c>
      <c r="D72" s="18">
        <v>1895.1673532324473</v>
      </c>
      <c r="E72" s="19">
        <f t="shared" si="1"/>
        <v>0.55130000000000001</v>
      </c>
    </row>
    <row r="73" spans="1:5" x14ac:dyDescent="0.25">
      <c r="A73" t="s">
        <v>139</v>
      </c>
      <c r="B73" t="s">
        <v>140</v>
      </c>
      <c r="C73" s="15">
        <v>665.59004018999997</v>
      </c>
      <c r="D73" s="18">
        <v>2066.4954225880565</v>
      </c>
      <c r="E73" s="19">
        <f t="shared" si="1"/>
        <v>0.67789999999999995</v>
      </c>
    </row>
    <row r="74" spans="1:5" x14ac:dyDescent="0.25">
      <c r="A74" t="s">
        <v>141</v>
      </c>
      <c r="B74" t="s">
        <v>142</v>
      </c>
      <c r="C74" s="15">
        <v>418.23162293000001</v>
      </c>
      <c r="D74" s="18">
        <v>1342.2358921900154</v>
      </c>
      <c r="E74" s="19">
        <f t="shared" si="1"/>
        <v>0.68840000000000001</v>
      </c>
    </row>
    <row r="75" spans="1:5" x14ac:dyDescent="0.25">
      <c r="A75" t="s">
        <v>143</v>
      </c>
      <c r="B75" t="s">
        <v>144</v>
      </c>
      <c r="C75" s="15">
        <v>1453.32870826</v>
      </c>
      <c r="D75" s="18">
        <v>3478.260869565217</v>
      </c>
      <c r="E75" s="19">
        <f t="shared" si="1"/>
        <v>0.58220000000000005</v>
      </c>
    </row>
    <row r="76" spans="1:5" x14ac:dyDescent="0.25">
      <c r="A76" t="s">
        <v>145</v>
      </c>
      <c r="B76" t="s">
        <v>146</v>
      </c>
      <c r="C76" s="15">
        <v>1706.1714061499999</v>
      </c>
      <c r="D76" s="18">
        <v>4008.9274089072692</v>
      </c>
      <c r="E76" s="19">
        <f t="shared" si="1"/>
        <v>0.57440000000000002</v>
      </c>
    </row>
    <row r="77" spans="1:5" x14ac:dyDescent="0.25">
      <c r="A77" t="s">
        <v>147</v>
      </c>
      <c r="B77" t="s">
        <v>148</v>
      </c>
      <c r="C77" s="15">
        <v>3332.6459108899999</v>
      </c>
      <c r="D77" s="18">
        <v>7122.601620854065</v>
      </c>
      <c r="E77" s="19">
        <f t="shared" si="1"/>
        <v>0.53210000000000002</v>
      </c>
    </row>
    <row r="78" spans="1:5" x14ac:dyDescent="0.25">
      <c r="A78" t="s">
        <v>149</v>
      </c>
      <c r="B78" t="s">
        <v>150</v>
      </c>
      <c r="C78" s="15">
        <v>71.011393420000005</v>
      </c>
      <c r="D78" s="18">
        <v>130.43478260869566</v>
      </c>
      <c r="E78" s="19">
        <f t="shared" si="1"/>
        <v>0.4556</v>
      </c>
    </row>
    <row r="79" spans="1:5" x14ac:dyDescent="0.25">
      <c r="A79" t="s">
        <v>151</v>
      </c>
      <c r="B79" t="s">
        <v>152</v>
      </c>
      <c r="C79" s="15">
        <v>64.146525130000001</v>
      </c>
      <c r="D79" s="18">
        <v>135.86956521739131</v>
      </c>
      <c r="E79" s="19">
        <f t="shared" si="1"/>
        <v>0.52790000000000004</v>
      </c>
    </row>
    <row r="80" spans="1:5" x14ac:dyDescent="0.25">
      <c r="A80" t="s">
        <v>153</v>
      </c>
      <c r="B80" t="s">
        <v>154</v>
      </c>
      <c r="C80" s="15">
        <v>70.21797248</v>
      </c>
      <c r="D80" s="18">
        <v>150.60932608469784</v>
      </c>
      <c r="E80" s="19">
        <f t="shared" si="1"/>
        <v>0.53380000000000005</v>
      </c>
    </row>
    <row r="81" spans="1:5" x14ac:dyDescent="0.25">
      <c r="A81" t="s">
        <v>155</v>
      </c>
      <c r="B81" t="s">
        <v>156</v>
      </c>
      <c r="C81" s="15">
        <v>77.653066659999993</v>
      </c>
      <c r="D81" s="18">
        <v>190.35345380149312</v>
      </c>
      <c r="E81" s="19">
        <f t="shared" si="1"/>
        <v>0.59209999999999996</v>
      </c>
    </row>
    <row r="82" spans="1:5" x14ac:dyDescent="0.25">
      <c r="A82" t="s">
        <v>157</v>
      </c>
      <c r="B82" t="s">
        <v>158</v>
      </c>
      <c r="C82" s="15">
        <v>126.47948239999999</v>
      </c>
      <c r="D82" s="18">
        <v>247.87784918106522</v>
      </c>
      <c r="E82" s="19">
        <f t="shared" si="1"/>
        <v>0.48980000000000001</v>
      </c>
    </row>
    <row r="83" spans="1:5" x14ac:dyDescent="0.25">
      <c r="A83" t="s">
        <v>159</v>
      </c>
      <c r="B83" t="s">
        <v>160</v>
      </c>
      <c r="C83" s="15">
        <v>110.42222760999999</v>
      </c>
      <c r="D83" s="18">
        <v>370.24792662488221</v>
      </c>
      <c r="E83" s="19">
        <f t="shared" si="1"/>
        <v>0.70179999999999998</v>
      </c>
    </row>
    <row r="84" spans="1:5" x14ac:dyDescent="0.25">
      <c r="A84" t="s">
        <v>161</v>
      </c>
      <c r="B84" t="s">
        <v>162</v>
      </c>
      <c r="C84" s="15">
        <v>2631.98092395</v>
      </c>
      <c r="D84" s="18">
        <v>5176.95652173913</v>
      </c>
      <c r="E84" s="19">
        <f t="shared" si="1"/>
        <v>0.49159999999999998</v>
      </c>
    </row>
    <row r="85" spans="1:5" x14ac:dyDescent="0.25">
      <c r="A85" t="s">
        <v>163</v>
      </c>
      <c r="B85" t="s">
        <v>164</v>
      </c>
      <c r="C85" s="15">
        <v>2627.5157479499999</v>
      </c>
      <c r="D85" s="18">
        <v>5176.95652173913</v>
      </c>
      <c r="E85" s="19">
        <f t="shared" si="1"/>
        <v>0.49249999999999999</v>
      </c>
    </row>
    <row r="86" spans="1:5" x14ac:dyDescent="0.25">
      <c r="A86" t="s">
        <v>165</v>
      </c>
      <c r="B86" t="s">
        <v>166</v>
      </c>
      <c r="C86" s="15">
        <v>902.62109453999994</v>
      </c>
      <c r="D86" s="18">
        <v>2517.7750377395455</v>
      </c>
      <c r="E86" s="19">
        <f t="shared" si="1"/>
        <v>0.64149999999999996</v>
      </c>
    </row>
    <row r="87" spans="1:5" x14ac:dyDescent="0.25">
      <c r="A87" t="s">
        <v>167</v>
      </c>
      <c r="B87" t="s">
        <v>168</v>
      </c>
      <c r="C87" s="15">
        <v>784.92747799999995</v>
      </c>
      <c r="D87" s="18">
        <v>6195.652173913043</v>
      </c>
      <c r="E87" s="19">
        <f t="shared" si="1"/>
        <v>0.87329999999999997</v>
      </c>
    </row>
    <row r="88" spans="1:5" x14ac:dyDescent="0.25">
      <c r="A88" t="s">
        <v>169</v>
      </c>
      <c r="B88" t="s">
        <v>170</v>
      </c>
      <c r="C88" s="15">
        <v>2390.90365053</v>
      </c>
      <c r="D88" s="18">
        <v>6691.304347826087</v>
      </c>
      <c r="E88" s="19">
        <f t="shared" si="1"/>
        <v>0.64270000000000005</v>
      </c>
    </row>
    <row r="89" spans="1:5" x14ac:dyDescent="0.25">
      <c r="A89" t="s">
        <v>171</v>
      </c>
      <c r="B89" t="s">
        <v>172</v>
      </c>
      <c r="C89" s="15">
        <v>9949.3069236800002</v>
      </c>
      <c r="D89" s="18">
        <v>31108.695652173916</v>
      </c>
      <c r="E89" s="19">
        <f t="shared" si="1"/>
        <v>0.68020000000000003</v>
      </c>
    </row>
    <row r="90" spans="1:5" x14ac:dyDescent="0.25">
      <c r="A90" t="s">
        <v>173</v>
      </c>
      <c r="B90" t="s">
        <v>174</v>
      </c>
      <c r="C90" s="15">
        <v>13117.09535503</v>
      </c>
      <c r="D90" s="18">
        <v>37169.591721499441</v>
      </c>
      <c r="E90" s="19">
        <f t="shared" si="1"/>
        <v>0.64710000000000001</v>
      </c>
    </row>
    <row r="91" spans="1:5" x14ac:dyDescent="0.25">
      <c r="A91" t="s">
        <v>175</v>
      </c>
      <c r="B91" t="s">
        <v>176</v>
      </c>
      <c r="C91" s="15">
        <v>15020.93748379</v>
      </c>
      <c r="D91" s="18">
        <v>42145.972926807</v>
      </c>
      <c r="E91" s="19">
        <f t="shared" si="1"/>
        <v>0.64359999999999995</v>
      </c>
    </row>
    <row r="92" spans="1:5" x14ac:dyDescent="0.25">
      <c r="A92" t="s">
        <v>177</v>
      </c>
      <c r="B92" t="s">
        <v>178</v>
      </c>
      <c r="C92" s="15">
        <v>17359.448967100001</v>
      </c>
      <c r="D92" s="18">
        <v>51981.594270857793</v>
      </c>
      <c r="E92" s="19">
        <f t="shared" si="1"/>
        <v>0.66600000000000004</v>
      </c>
    </row>
    <row r="93" spans="1:5" x14ac:dyDescent="0.25">
      <c r="A93" t="s">
        <v>179</v>
      </c>
      <c r="B93" t="s">
        <v>180</v>
      </c>
      <c r="C93" s="15">
        <v>15343.756477090001</v>
      </c>
      <c r="D93" s="18">
        <v>44021.739130434784</v>
      </c>
      <c r="E93" s="19">
        <f t="shared" si="1"/>
        <v>0.65149999999999997</v>
      </c>
    </row>
    <row r="94" spans="1:5" x14ac:dyDescent="0.25">
      <c r="A94" t="s">
        <v>181</v>
      </c>
      <c r="B94" t="s">
        <v>182</v>
      </c>
      <c r="C94" s="15">
        <v>17902.67516635</v>
      </c>
      <c r="D94" s="18">
        <v>53621.622388259479</v>
      </c>
      <c r="E94" s="19">
        <f t="shared" si="1"/>
        <v>0.66610000000000003</v>
      </c>
    </row>
  </sheetData>
  <autoFilter ref="A1:E1" xr:uid="{62C460FD-853F-48A8-BB18-DB58CBD5BD31}"/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C6327-8CBD-476A-BB08-5C75376F1333}">
  <dimension ref="A1:E3"/>
  <sheetViews>
    <sheetView workbookViewId="0">
      <selection activeCell="G6" sqref="G6"/>
    </sheetView>
  </sheetViews>
  <sheetFormatPr defaultRowHeight="15" x14ac:dyDescent="0.25"/>
  <cols>
    <col min="1" max="1" width="13.140625" bestFit="1" customWidth="1"/>
    <col min="2" max="2" width="46.5703125" bestFit="1" customWidth="1"/>
    <col min="3" max="3" width="17.85546875" customWidth="1"/>
    <col min="5" max="5" width="8.85546875" style="19"/>
  </cols>
  <sheetData>
    <row r="1" spans="1:5" x14ac:dyDescent="0.25">
      <c r="A1" s="3" t="s">
        <v>0</v>
      </c>
      <c r="B1" s="3" t="s">
        <v>1</v>
      </c>
      <c r="C1" s="3" t="s">
        <v>747</v>
      </c>
      <c r="D1" s="3" t="s">
        <v>2</v>
      </c>
      <c r="E1" s="23" t="s">
        <v>749</v>
      </c>
    </row>
    <row r="2" spans="1:5" x14ac:dyDescent="0.25">
      <c r="A2" t="s">
        <v>161</v>
      </c>
      <c r="B2" t="s">
        <v>162</v>
      </c>
      <c r="C2" s="15">
        <v>2631.98092395</v>
      </c>
      <c r="D2" s="18">
        <v>5176.95652173913</v>
      </c>
      <c r="E2" s="19">
        <f>ROUND(((D2-C2)/D2),4)</f>
        <v>0.49159999999999998</v>
      </c>
    </row>
    <row r="3" spans="1:5" x14ac:dyDescent="0.25">
      <c r="A3" t="s">
        <v>163</v>
      </c>
      <c r="B3" t="s">
        <v>164</v>
      </c>
      <c r="C3" s="15">
        <v>2627.5157479499999</v>
      </c>
      <c r="D3" s="18">
        <v>5176.95652173913</v>
      </c>
      <c r="E3" s="19">
        <f>ROUND(((D3-C3)/D3),4)</f>
        <v>0.49249999999999999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F069F-11F0-41FB-B939-51B5F45B8CB2}">
  <dimension ref="A1:G111"/>
  <sheetViews>
    <sheetView workbookViewId="0">
      <selection activeCell="J7" sqref="J7"/>
    </sheetView>
  </sheetViews>
  <sheetFormatPr defaultRowHeight="15" x14ac:dyDescent="0.25"/>
  <cols>
    <col min="1" max="1" width="17" customWidth="1"/>
    <col min="2" max="2" width="11" customWidth="1"/>
    <col min="3" max="4" width="13" customWidth="1"/>
    <col min="5" max="5" width="13" style="17" customWidth="1"/>
    <col min="6" max="6" width="12.5703125" style="12" bestFit="1" customWidth="1"/>
    <col min="7" max="7" width="8.7109375" style="19"/>
  </cols>
  <sheetData>
    <row r="1" spans="1:7" s="6" customFormat="1" x14ac:dyDescent="0.25">
      <c r="A1" s="6" t="s">
        <v>0</v>
      </c>
      <c r="B1" s="6" t="s">
        <v>188</v>
      </c>
      <c r="C1" s="6" t="s">
        <v>186</v>
      </c>
      <c r="D1" s="6" t="s">
        <v>263</v>
      </c>
      <c r="E1" s="26" t="s">
        <v>747</v>
      </c>
      <c r="F1" s="13" t="s">
        <v>2</v>
      </c>
      <c r="G1" s="24" t="s">
        <v>749</v>
      </c>
    </row>
    <row r="2" spans="1:7" x14ac:dyDescent="0.25">
      <c r="A2" s="11" t="s">
        <v>689</v>
      </c>
      <c r="B2" s="11" t="s">
        <v>189</v>
      </c>
      <c r="C2" s="11">
        <v>1600</v>
      </c>
      <c r="D2" s="11" t="s">
        <v>695</v>
      </c>
      <c r="E2" s="27">
        <f>1605.72*18</f>
        <v>28902.959999999999</v>
      </c>
      <c r="F2" s="12">
        <v>103121</v>
      </c>
      <c r="G2" s="19">
        <f>ROUND(((F2-E2)/F2),4)</f>
        <v>0.71970000000000001</v>
      </c>
    </row>
    <row r="3" spans="1:7" x14ac:dyDescent="0.25">
      <c r="A3" s="11" t="s">
        <v>690</v>
      </c>
      <c r="B3" s="11" t="s">
        <v>189</v>
      </c>
      <c r="C3" s="11">
        <v>2000</v>
      </c>
      <c r="D3" s="11" t="s">
        <v>695</v>
      </c>
      <c r="E3" s="27">
        <f>2372.73*18</f>
        <v>42709.14</v>
      </c>
      <c r="F3" s="12">
        <v>118541</v>
      </c>
      <c r="G3" s="19">
        <f t="shared" ref="G3:G14" si="0">ROUND(((F3-E3)/F3),4)</f>
        <v>0.63970000000000005</v>
      </c>
    </row>
    <row r="4" spans="1:7" x14ac:dyDescent="0.25">
      <c r="A4" s="11" t="s">
        <v>691</v>
      </c>
      <c r="B4" s="11" t="s">
        <v>189</v>
      </c>
      <c r="C4" s="11">
        <v>3200</v>
      </c>
      <c r="D4" s="11" t="s">
        <v>695</v>
      </c>
      <c r="E4" s="27">
        <f>2482.17*18</f>
        <v>44679.06</v>
      </c>
      <c r="F4" s="12">
        <v>135356</v>
      </c>
      <c r="G4" s="19">
        <f t="shared" si="0"/>
        <v>0.66990000000000005</v>
      </c>
    </row>
    <row r="5" spans="1:7" x14ac:dyDescent="0.25">
      <c r="A5" s="11" t="s">
        <v>692</v>
      </c>
      <c r="B5" s="11" t="s">
        <v>190</v>
      </c>
      <c r="C5" s="11">
        <v>1600</v>
      </c>
      <c r="D5" s="11" t="s">
        <v>695</v>
      </c>
      <c r="E5" s="27">
        <f>2081.55*18</f>
        <v>37467.9</v>
      </c>
      <c r="F5" s="12">
        <v>128574</v>
      </c>
      <c r="G5" s="19">
        <f t="shared" si="0"/>
        <v>0.70860000000000001</v>
      </c>
    </row>
    <row r="6" spans="1:7" x14ac:dyDescent="0.25">
      <c r="A6" t="s">
        <v>693</v>
      </c>
      <c r="B6" s="11" t="s">
        <v>190</v>
      </c>
      <c r="C6" s="11">
        <v>2000</v>
      </c>
      <c r="D6" s="11" t="s">
        <v>695</v>
      </c>
      <c r="E6" s="27">
        <f>3365*18</f>
        <v>60570</v>
      </c>
      <c r="F6" s="12">
        <v>145962</v>
      </c>
      <c r="G6" s="19">
        <f t="shared" si="0"/>
        <v>0.58499999999999996</v>
      </c>
    </row>
    <row r="7" spans="1:7" x14ac:dyDescent="0.25">
      <c r="A7" t="s">
        <v>694</v>
      </c>
      <c r="B7" s="11" t="s">
        <v>190</v>
      </c>
      <c r="C7" s="11">
        <v>3200</v>
      </c>
      <c r="D7" s="11" t="s">
        <v>695</v>
      </c>
      <c r="E7" s="27">
        <f>3762.16*18</f>
        <v>67718.880000000005</v>
      </c>
      <c r="F7" s="12">
        <v>163173</v>
      </c>
      <c r="G7" s="19">
        <f t="shared" si="0"/>
        <v>0.58499999999999996</v>
      </c>
    </row>
    <row r="8" spans="1:7" x14ac:dyDescent="0.25">
      <c r="A8" t="s">
        <v>696</v>
      </c>
      <c r="B8" s="11" t="s">
        <v>189</v>
      </c>
      <c r="C8" s="11">
        <v>1600</v>
      </c>
      <c r="D8" s="11" t="s">
        <v>704</v>
      </c>
      <c r="E8" s="27">
        <f>1749.21*18</f>
        <v>31485.78</v>
      </c>
      <c r="F8" s="12">
        <v>115840</v>
      </c>
      <c r="G8" s="19">
        <f t="shared" si="0"/>
        <v>0.72819999999999996</v>
      </c>
    </row>
    <row r="9" spans="1:7" x14ac:dyDescent="0.25">
      <c r="A9" t="s">
        <v>697</v>
      </c>
      <c r="B9" s="11" t="s">
        <v>189</v>
      </c>
      <c r="C9" s="11">
        <v>2000</v>
      </c>
      <c r="D9" s="11" t="s">
        <v>704</v>
      </c>
      <c r="E9" s="27">
        <f>2535.37*18</f>
        <v>45636.659999999996</v>
      </c>
      <c r="F9" s="12">
        <v>131702</v>
      </c>
      <c r="G9" s="19">
        <f t="shared" si="0"/>
        <v>0.65349999999999997</v>
      </c>
    </row>
    <row r="10" spans="1:7" x14ac:dyDescent="0.25">
      <c r="A10" t="s">
        <v>698</v>
      </c>
      <c r="B10" s="11" t="s">
        <v>189</v>
      </c>
      <c r="C10" s="11">
        <v>3200</v>
      </c>
      <c r="D10" s="11" t="s">
        <v>704</v>
      </c>
      <c r="E10" s="27">
        <f>2644.81*18</f>
        <v>47606.58</v>
      </c>
      <c r="F10" s="12">
        <v>148391</v>
      </c>
      <c r="G10" s="19">
        <f t="shared" si="0"/>
        <v>0.67920000000000003</v>
      </c>
    </row>
    <row r="11" spans="1:7" x14ac:dyDescent="0.25">
      <c r="A11" t="s">
        <v>699</v>
      </c>
      <c r="B11" s="11" t="s">
        <v>190</v>
      </c>
      <c r="C11" s="11">
        <v>1600</v>
      </c>
      <c r="D11" s="11" t="s">
        <v>704</v>
      </c>
      <c r="E11" s="27">
        <f>2225.04*18</f>
        <v>40050.720000000001</v>
      </c>
      <c r="F11" s="12">
        <v>141557</v>
      </c>
      <c r="G11" s="19">
        <f t="shared" si="0"/>
        <v>0.71709999999999996</v>
      </c>
    </row>
    <row r="12" spans="1:7" x14ac:dyDescent="0.25">
      <c r="A12" t="s">
        <v>700</v>
      </c>
      <c r="B12" s="11" t="s">
        <v>190</v>
      </c>
      <c r="C12" s="11">
        <v>2000</v>
      </c>
      <c r="D12" s="11" t="s">
        <v>704</v>
      </c>
      <c r="E12" s="27">
        <f>3527.64*18</f>
        <v>63497.52</v>
      </c>
      <c r="F12" s="12">
        <v>159273</v>
      </c>
      <c r="G12" s="19">
        <f t="shared" si="0"/>
        <v>0.60129999999999995</v>
      </c>
    </row>
    <row r="13" spans="1:7" x14ac:dyDescent="0.25">
      <c r="A13" t="s">
        <v>701</v>
      </c>
      <c r="B13" s="11" t="s">
        <v>190</v>
      </c>
      <c r="C13" s="11">
        <v>3200</v>
      </c>
      <c r="D13" s="11" t="s">
        <v>704</v>
      </c>
      <c r="E13" s="27">
        <f>3924.8*18</f>
        <v>70646.400000000009</v>
      </c>
      <c r="F13" s="12">
        <v>178319</v>
      </c>
      <c r="G13" s="19">
        <f t="shared" si="0"/>
        <v>0.6038</v>
      </c>
    </row>
    <row r="14" spans="1:7" x14ac:dyDescent="0.25">
      <c r="A14" t="s">
        <v>702</v>
      </c>
      <c r="B14" t="s">
        <v>703</v>
      </c>
      <c r="C14" t="s">
        <v>703</v>
      </c>
      <c r="D14" t="s">
        <v>703</v>
      </c>
      <c r="E14" s="17">
        <f>309.63*18</f>
        <v>5573.34</v>
      </c>
      <c r="F14" s="12">
        <v>7067</v>
      </c>
      <c r="G14" s="19">
        <f t="shared" si="0"/>
        <v>0.2114</v>
      </c>
    </row>
    <row r="15" spans="1:7" x14ac:dyDescent="0.25">
      <c r="A15" s="11"/>
      <c r="B15" s="11"/>
      <c r="C15" s="11"/>
      <c r="D15" s="11"/>
      <c r="E15" s="27"/>
    </row>
    <row r="16" spans="1:7" x14ac:dyDescent="0.25">
      <c r="A16" s="11"/>
      <c r="B16" s="11"/>
      <c r="C16" s="11"/>
      <c r="D16" s="11"/>
      <c r="E16" s="27"/>
    </row>
    <row r="17" spans="1:5" x14ac:dyDescent="0.25">
      <c r="A17" s="11"/>
      <c r="B17" s="11"/>
      <c r="C17" s="11"/>
      <c r="D17" s="11"/>
      <c r="E17" s="27"/>
    </row>
    <row r="18" spans="1:5" x14ac:dyDescent="0.25">
      <c r="A18" s="11"/>
      <c r="B18" s="11"/>
      <c r="C18" s="11"/>
      <c r="D18" s="11"/>
      <c r="E18" s="27"/>
    </row>
    <row r="19" spans="1:5" x14ac:dyDescent="0.25">
      <c r="A19" s="11"/>
      <c r="B19" s="11"/>
      <c r="C19" s="11"/>
      <c r="D19" s="11"/>
      <c r="E19" s="27"/>
    </row>
    <row r="20" spans="1:5" x14ac:dyDescent="0.25">
      <c r="A20" s="11"/>
      <c r="B20" s="11"/>
      <c r="C20" s="11"/>
      <c r="D20" s="11"/>
      <c r="E20" s="27"/>
    </row>
    <row r="21" spans="1:5" x14ac:dyDescent="0.25">
      <c r="A21" s="11"/>
      <c r="B21" s="11"/>
      <c r="C21" s="11"/>
      <c r="D21" s="11"/>
      <c r="E21" s="27"/>
    </row>
    <row r="22" spans="1:5" x14ac:dyDescent="0.25">
      <c r="A22" s="11"/>
      <c r="B22" s="11"/>
      <c r="C22" s="11"/>
      <c r="D22" s="11"/>
      <c r="E22" s="27"/>
    </row>
    <row r="23" spans="1:5" x14ac:dyDescent="0.25">
      <c r="A23" s="11"/>
      <c r="B23" s="11"/>
      <c r="C23" s="11"/>
      <c r="D23" s="11"/>
      <c r="E23" s="27"/>
    </row>
    <row r="24" spans="1:5" x14ac:dyDescent="0.25">
      <c r="A24" s="11"/>
      <c r="B24" s="11"/>
      <c r="C24" s="11"/>
      <c r="D24" s="11"/>
      <c r="E24" s="27"/>
    </row>
    <row r="25" spans="1:5" x14ac:dyDescent="0.25">
      <c r="A25" s="11"/>
      <c r="B25" s="11"/>
      <c r="C25" s="11"/>
      <c r="D25" s="11"/>
      <c r="E25" s="27"/>
    </row>
    <row r="26" spans="1:5" x14ac:dyDescent="0.25">
      <c r="A26" s="11"/>
      <c r="B26" s="11"/>
      <c r="C26" s="11"/>
      <c r="D26" s="11"/>
      <c r="E26" s="27"/>
    </row>
    <row r="27" spans="1:5" x14ac:dyDescent="0.25">
      <c r="A27" s="11"/>
      <c r="B27" s="11"/>
      <c r="C27" s="11"/>
      <c r="D27" s="11"/>
      <c r="E27" s="27"/>
    </row>
    <row r="28" spans="1:5" x14ac:dyDescent="0.25">
      <c r="A28" s="11"/>
      <c r="B28" s="11"/>
      <c r="C28" s="11"/>
      <c r="D28" s="11"/>
      <c r="E28" s="27"/>
    </row>
    <row r="29" spans="1:5" x14ac:dyDescent="0.25">
      <c r="A29" s="11"/>
      <c r="B29" s="11"/>
      <c r="C29" s="11"/>
      <c r="D29" s="11"/>
      <c r="E29" s="27"/>
    </row>
    <row r="30" spans="1:5" x14ac:dyDescent="0.25">
      <c r="A30" s="11"/>
      <c r="B30" s="11"/>
      <c r="C30" s="11"/>
      <c r="D30" s="11"/>
      <c r="E30" s="27"/>
    </row>
    <row r="31" spans="1:5" x14ac:dyDescent="0.25">
      <c r="A31" s="11"/>
      <c r="B31" s="11"/>
      <c r="C31" s="11"/>
      <c r="D31" s="11"/>
      <c r="E31" s="27"/>
    </row>
    <row r="32" spans="1:5" x14ac:dyDescent="0.25">
      <c r="A32" s="11"/>
      <c r="B32" s="11"/>
      <c r="C32" s="11"/>
      <c r="D32" s="11"/>
      <c r="E32" s="27"/>
    </row>
    <row r="33" spans="1:5" x14ac:dyDescent="0.25">
      <c r="A33" s="11"/>
      <c r="B33" s="11"/>
      <c r="C33" s="11"/>
      <c r="D33" s="11"/>
      <c r="E33" s="27"/>
    </row>
    <row r="34" spans="1:5" x14ac:dyDescent="0.25">
      <c r="A34" s="11"/>
      <c r="B34" s="11"/>
      <c r="C34" s="11"/>
      <c r="D34" s="11"/>
      <c r="E34" s="27"/>
    </row>
    <row r="35" spans="1:5" x14ac:dyDescent="0.25">
      <c r="A35" s="11"/>
      <c r="B35" s="11"/>
      <c r="C35" s="11"/>
      <c r="D35" s="11"/>
      <c r="E35" s="27"/>
    </row>
    <row r="36" spans="1:5" x14ac:dyDescent="0.25">
      <c r="A36" s="11"/>
      <c r="B36" s="11"/>
      <c r="C36" s="11"/>
      <c r="D36" s="11"/>
      <c r="E36" s="27"/>
    </row>
    <row r="37" spans="1:5" x14ac:dyDescent="0.25">
      <c r="A37" s="11"/>
      <c r="B37" s="11"/>
      <c r="C37" s="11"/>
      <c r="D37" s="11"/>
      <c r="E37" s="27"/>
    </row>
    <row r="38" spans="1:5" x14ac:dyDescent="0.25">
      <c r="A38" s="11"/>
      <c r="B38" s="11"/>
      <c r="C38" s="11"/>
      <c r="D38" s="11"/>
      <c r="E38" s="27"/>
    </row>
    <row r="39" spans="1:5" x14ac:dyDescent="0.25">
      <c r="A39" s="11"/>
      <c r="B39" s="11"/>
      <c r="C39" s="11"/>
      <c r="D39" s="11"/>
      <c r="E39" s="27"/>
    </row>
    <row r="40" spans="1:5" x14ac:dyDescent="0.25">
      <c r="A40" s="11"/>
      <c r="B40" s="11"/>
      <c r="C40" s="11"/>
      <c r="D40" s="11"/>
      <c r="E40" s="27"/>
    </row>
    <row r="41" spans="1:5" x14ac:dyDescent="0.25">
      <c r="A41" s="11"/>
      <c r="B41" s="11"/>
      <c r="C41" s="11"/>
      <c r="D41" s="11"/>
      <c r="E41" s="27"/>
    </row>
    <row r="42" spans="1:5" x14ac:dyDescent="0.25">
      <c r="A42" s="11"/>
      <c r="B42" s="11"/>
      <c r="C42" s="11"/>
      <c r="D42" s="11"/>
      <c r="E42" s="27"/>
    </row>
    <row r="43" spans="1:5" x14ac:dyDescent="0.25">
      <c r="A43" s="11"/>
      <c r="B43" s="11"/>
      <c r="C43" s="11"/>
      <c r="D43" s="11"/>
      <c r="E43" s="27"/>
    </row>
    <row r="44" spans="1:5" x14ac:dyDescent="0.25">
      <c r="A44" s="11"/>
      <c r="B44" s="11"/>
      <c r="C44" s="11"/>
      <c r="D44" s="11"/>
      <c r="E44" s="27"/>
    </row>
    <row r="45" spans="1:5" x14ac:dyDescent="0.25">
      <c r="A45" s="11"/>
      <c r="B45" s="11"/>
      <c r="C45" s="11"/>
      <c r="D45" s="11"/>
      <c r="E45" s="27"/>
    </row>
    <row r="46" spans="1:5" x14ac:dyDescent="0.25">
      <c r="A46" s="11"/>
      <c r="B46" s="11"/>
      <c r="C46" s="11"/>
      <c r="D46" s="11"/>
      <c r="E46" s="27"/>
    </row>
    <row r="47" spans="1:5" x14ac:dyDescent="0.25">
      <c r="A47" s="11"/>
      <c r="B47" s="11"/>
      <c r="C47" s="11"/>
      <c r="D47" s="11"/>
      <c r="E47" s="27"/>
    </row>
    <row r="48" spans="1:5" x14ac:dyDescent="0.25">
      <c r="A48" s="11"/>
      <c r="B48" s="11"/>
      <c r="C48" s="11"/>
      <c r="D48" s="11"/>
      <c r="E48" s="27"/>
    </row>
    <row r="49" spans="1:5" x14ac:dyDescent="0.25">
      <c r="A49" s="11"/>
      <c r="B49" s="11"/>
      <c r="C49" s="11"/>
      <c r="D49" s="11"/>
      <c r="E49" s="27"/>
    </row>
    <row r="50" spans="1:5" x14ac:dyDescent="0.25">
      <c r="A50" s="11"/>
      <c r="B50" s="11"/>
      <c r="C50" s="11"/>
      <c r="D50" s="11"/>
      <c r="E50" s="27"/>
    </row>
    <row r="51" spans="1:5" x14ac:dyDescent="0.25">
      <c r="A51" s="11"/>
      <c r="B51" s="11"/>
      <c r="C51" s="11"/>
      <c r="D51" s="11"/>
      <c r="E51" s="27"/>
    </row>
    <row r="52" spans="1:5" x14ac:dyDescent="0.25">
      <c r="A52" s="11"/>
      <c r="B52" s="11"/>
      <c r="C52" s="11"/>
      <c r="D52" s="11"/>
      <c r="E52" s="27"/>
    </row>
    <row r="53" spans="1:5" x14ac:dyDescent="0.25">
      <c r="A53" s="11"/>
      <c r="B53" s="11"/>
      <c r="C53" s="11"/>
      <c r="D53" s="11"/>
      <c r="E53" s="27"/>
    </row>
    <row r="54" spans="1:5" x14ac:dyDescent="0.25">
      <c r="A54" s="11"/>
      <c r="B54" s="11"/>
      <c r="C54" s="11"/>
      <c r="D54" s="11"/>
      <c r="E54" s="27"/>
    </row>
    <row r="55" spans="1:5" x14ac:dyDescent="0.25">
      <c r="A55" s="11"/>
      <c r="B55" s="11"/>
      <c r="C55" s="11"/>
      <c r="D55" s="11"/>
      <c r="E55" s="27"/>
    </row>
    <row r="56" spans="1:5" x14ac:dyDescent="0.25">
      <c r="A56" s="11"/>
      <c r="B56" s="11"/>
      <c r="C56" s="11"/>
      <c r="D56" s="11"/>
      <c r="E56" s="27"/>
    </row>
    <row r="57" spans="1:5" x14ac:dyDescent="0.25">
      <c r="A57" s="11"/>
      <c r="B57" s="11"/>
      <c r="C57" s="11"/>
      <c r="D57" s="11"/>
      <c r="E57" s="27"/>
    </row>
    <row r="58" spans="1:5" x14ac:dyDescent="0.25">
      <c r="A58" s="11"/>
      <c r="B58" s="11"/>
      <c r="C58" s="11"/>
      <c r="D58" s="11"/>
      <c r="E58" s="27"/>
    </row>
    <row r="59" spans="1:5" x14ac:dyDescent="0.25">
      <c r="A59" s="11"/>
      <c r="B59" s="11"/>
      <c r="C59" s="11"/>
      <c r="D59" s="11"/>
      <c r="E59" s="27"/>
    </row>
    <row r="60" spans="1:5" x14ac:dyDescent="0.25">
      <c r="A60" s="11"/>
      <c r="B60" s="11"/>
      <c r="C60" s="11"/>
      <c r="D60" s="11"/>
      <c r="E60" s="27"/>
    </row>
    <row r="61" spans="1:5" x14ac:dyDescent="0.25">
      <c r="A61" s="11"/>
      <c r="B61" s="11"/>
      <c r="C61" s="11"/>
      <c r="D61" s="11"/>
      <c r="E61" s="27"/>
    </row>
    <row r="62" spans="1:5" x14ac:dyDescent="0.25">
      <c r="A62" s="11"/>
      <c r="B62" s="11"/>
      <c r="C62" s="11"/>
      <c r="D62" s="11"/>
      <c r="E62" s="27"/>
    </row>
    <row r="63" spans="1:5" x14ac:dyDescent="0.25">
      <c r="A63" s="11"/>
      <c r="B63" s="11"/>
      <c r="C63" s="11"/>
      <c r="D63" s="11"/>
      <c r="E63" s="27"/>
    </row>
    <row r="64" spans="1:5" x14ac:dyDescent="0.25">
      <c r="A64" s="11"/>
      <c r="B64" s="11"/>
      <c r="C64" s="11"/>
      <c r="D64" s="11"/>
      <c r="E64" s="27"/>
    </row>
    <row r="65" spans="1:5" x14ac:dyDescent="0.25">
      <c r="A65" s="11"/>
      <c r="B65" s="11"/>
      <c r="C65" s="11"/>
      <c r="D65" s="11"/>
      <c r="E65" s="27"/>
    </row>
    <row r="66" spans="1:5" x14ac:dyDescent="0.25">
      <c r="A66" s="11"/>
      <c r="B66" s="11"/>
      <c r="C66" s="11"/>
      <c r="D66" s="11"/>
      <c r="E66" s="27"/>
    </row>
    <row r="67" spans="1:5" x14ac:dyDescent="0.25">
      <c r="A67" s="11"/>
      <c r="B67" s="11"/>
      <c r="C67" s="11"/>
      <c r="D67" s="11"/>
      <c r="E67" s="27"/>
    </row>
    <row r="68" spans="1:5" x14ac:dyDescent="0.25">
      <c r="A68" s="11"/>
      <c r="B68" s="11"/>
      <c r="C68" s="11"/>
      <c r="D68" s="11"/>
      <c r="E68" s="27"/>
    </row>
    <row r="69" spans="1:5" x14ac:dyDescent="0.25">
      <c r="A69" s="11"/>
      <c r="B69" s="11"/>
      <c r="C69" s="11"/>
      <c r="D69" s="11"/>
      <c r="E69" s="27"/>
    </row>
    <row r="70" spans="1:5" x14ac:dyDescent="0.25">
      <c r="A70" s="11"/>
      <c r="B70" s="11"/>
      <c r="C70" s="11"/>
      <c r="D70" s="11"/>
      <c r="E70" s="27"/>
    </row>
    <row r="71" spans="1:5" x14ac:dyDescent="0.25">
      <c r="A71" s="11"/>
      <c r="B71" s="11"/>
      <c r="C71" s="11"/>
      <c r="D71" s="11"/>
      <c r="E71" s="27"/>
    </row>
    <row r="72" spans="1:5" x14ac:dyDescent="0.25">
      <c r="A72" s="11"/>
      <c r="B72" s="11"/>
      <c r="C72" s="11"/>
      <c r="D72" s="11"/>
      <c r="E72" s="27"/>
    </row>
    <row r="73" spans="1:5" x14ac:dyDescent="0.25">
      <c r="A73" s="11"/>
      <c r="B73" s="11"/>
      <c r="C73" s="11"/>
      <c r="D73" s="11"/>
      <c r="E73" s="27"/>
    </row>
    <row r="74" spans="1:5" x14ac:dyDescent="0.25">
      <c r="A74" s="11"/>
      <c r="B74" s="11"/>
      <c r="C74" s="11"/>
      <c r="D74" s="11"/>
      <c r="E74" s="27"/>
    </row>
    <row r="75" spans="1:5" x14ac:dyDescent="0.25">
      <c r="A75" s="11"/>
      <c r="B75" s="11"/>
      <c r="C75" s="11"/>
      <c r="D75" s="11"/>
      <c r="E75" s="27"/>
    </row>
    <row r="76" spans="1:5" x14ac:dyDescent="0.25">
      <c r="A76" s="11"/>
      <c r="B76" s="11"/>
      <c r="C76" s="11"/>
      <c r="D76" s="11"/>
      <c r="E76" s="27"/>
    </row>
    <row r="77" spans="1:5" x14ac:dyDescent="0.25">
      <c r="A77" s="11"/>
      <c r="B77" s="11"/>
      <c r="C77" s="11"/>
      <c r="D77" s="11"/>
      <c r="E77" s="27"/>
    </row>
    <row r="78" spans="1:5" x14ac:dyDescent="0.25">
      <c r="A78" s="11"/>
      <c r="B78" s="11"/>
      <c r="C78" s="11"/>
      <c r="D78" s="11"/>
      <c r="E78" s="27"/>
    </row>
    <row r="79" spans="1:5" x14ac:dyDescent="0.25">
      <c r="A79" s="11"/>
      <c r="B79" s="11"/>
      <c r="C79" s="11"/>
      <c r="D79" s="11"/>
      <c r="E79" s="27"/>
    </row>
    <row r="80" spans="1:5" x14ac:dyDescent="0.25">
      <c r="A80" s="11"/>
      <c r="B80" s="11"/>
      <c r="C80" s="11"/>
      <c r="D80" s="11"/>
      <c r="E80" s="27"/>
    </row>
    <row r="81" spans="1:5" x14ac:dyDescent="0.25">
      <c r="A81" s="11"/>
      <c r="B81" s="11"/>
      <c r="C81" s="11"/>
      <c r="D81" s="11"/>
      <c r="E81" s="27"/>
    </row>
    <row r="82" spans="1:5" x14ac:dyDescent="0.25">
      <c r="A82" s="11"/>
      <c r="B82" s="11"/>
      <c r="C82" s="11"/>
      <c r="D82" s="11"/>
      <c r="E82" s="27"/>
    </row>
    <row r="83" spans="1:5" x14ac:dyDescent="0.25">
      <c r="A83" s="11"/>
      <c r="B83" s="11"/>
      <c r="C83" s="11"/>
      <c r="D83" s="11"/>
      <c r="E83" s="27"/>
    </row>
    <row r="84" spans="1:5" x14ac:dyDescent="0.25">
      <c r="A84" s="11"/>
      <c r="B84" s="11"/>
      <c r="C84" s="11"/>
      <c r="D84" s="11"/>
      <c r="E84" s="27"/>
    </row>
    <row r="85" spans="1:5" x14ac:dyDescent="0.25">
      <c r="A85" s="11"/>
      <c r="B85" s="11"/>
      <c r="C85" s="11"/>
      <c r="D85" s="11"/>
      <c r="E85" s="27"/>
    </row>
    <row r="86" spans="1:5" x14ac:dyDescent="0.25">
      <c r="A86" s="11"/>
      <c r="B86" s="11"/>
      <c r="C86" s="11"/>
      <c r="D86" s="11"/>
      <c r="E86" s="27"/>
    </row>
    <row r="87" spans="1:5" x14ac:dyDescent="0.25">
      <c r="A87" s="11"/>
      <c r="B87" s="11"/>
      <c r="C87" s="11"/>
      <c r="D87" s="11"/>
      <c r="E87" s="27"/>
    </row>
    <row r="88" spans="1:5" x14ac:dyDescent="0.25">
      <c r="A88" s="11"/>
      <c r="B88" s="11"/>
      <c r="C88" s="11"/>
      <c r="D88" s="11"/>
      <c r="E88" s="27"/>
    </row>
    <row r="89" spans="1:5" x14ac:dyDescent="0.25">
      <c r="A89" s="11"/>
      <c r="B89" s="11"/>
      <c r="C89" s="11"/>
      <c r="D89" s="11"/>
      <c r="E89" s="27"/>
    </row>
    <row r="90" spans="1:5" x14ac:dyDescent="0.25">
      <c r="A90" s="11"/>
      <c r="B90" s="11"/>
      <c r="C90" s="11"/>
      <c r="D90" s="11"/>
      <c r="E90" s="27"/>
    </row>
    <row r="91" spans="1:5" x14ac:dyDescent="0.25">
      <c r="A91" s="11"/>
      <c r="B91" s="11"/>
      <c r="C91" s="11"/>
      <c r="D91" s="11"/>
      <c r="E91" s="27"/>
    </row>
    <row r="92" spans="1:5" x14ac:dyDescent="0.25">
      <c r="A92" s="11"/>
      <c r="B92" s="11"/>
      <c r="C92" s="11"/>
      <c r="D92" s="11"/>
      <c r="E92" s="27"/>
    </row>
    <row r="93" spans="1:5" x14ac:dyDescent="0.25">
      <c r="A93" s="11"/>
      <c r="B93" s="11"/>
      <c r="C93" s="11"/>
      <c r="D93" s="11"/>
      <c r="E93" s="27"/>
    </row>
    <row r="94" spans="1:5" x14ac:dyDescent="0.25">
      <c r="A94" s="11"/>
      <c r="B94" s="11"/>
      <c r="C94" s="11"/>
      <c r="D94" s="11"/>
      <c r="E94" s="27"/>
    </row>
    <row r="95" spans="1:5" x14ac:dyDescent="0.25">
      <c r="A95" s="11"/>
      <c r="B95" s="11"/>
      <c r="C95" s="11"/>
      <c r="D95" s="11"/>
      <c r="E95" s="27"/>
    </row>
    <row r="96" spans="1:5" x14ac:dyDescent="0.25">
      <c r="A96" s="11"/>
      <c r="B96" s="11"/>
      <c r="C96" s="11"/>
      <c r="D96" s="11"/>
      <c r="E96" s="27"/>
    </row>
    <row r="97" spans="1:5" x14ac:dyDescent="0.25">
      <c r="A97" s="11"/>
      <c r="B97" s="11"/>
      <c r="C97" s="11"/>
      <c r="D97" s="11"/>
      <c r="E97" s="27"/>
    </row>
    <row r="98" spans="1:5" x14ac:dyDescent="0.25">
      <c r="A98" s="11"/>
      <c r="B98" s="11"/>
      <c r="C98" s="11"/>
      <c r="D98" s="11"/>
      <c r="E98" s="27"/>
    </row>
    <row r="99" spans="1:5" x14ac:dyDescent="0.25">
      <c r="A99" s="11"/>
      <c r="B99" s="11"/>
      <c r="C99" s="11"/>
      <c r="D99" s="11"/>
      <c r="E99" s="27"/>
    </row>
    <row r="100" spans="1:5" x14ac:dyDescent="0.25">
      <c r="A100" s="11"/>
      <c r="B100" s="11"/>
      <c r="C100" s="11"/>
      <c r="D100" s="11"/>
      <c r="E100" s="27"/>
    </row>
    <row r="101" spans="1:5" x14ac:dyDescent="0.25">
      <c r="A101" s="11"/>
      <c r="B101" s="11"/>
      <c r="C101" s="11"/>
      <c r="D101" s="11"/>
      <c r="E101" s="27"/>
    </row>
    <row r="102" spans="1:5" x14ac:dyDescent="0.25">
      <c r="A102" s="11"/>
      <c r="B102" s="11"/>
      <c r="C102" s="11"/>
      <c r="D102" s="11"/>
      <c r="E102" s="27"/>
    </row>
    <row r="103" spans="1:5" x14ac:dyDescent="0.25">
      <c r="A103" s="11"/>
      <c r="B103" s="11"/>
      <c r="C103" s="11"/>
      <c r="D103" s="11"/>
      <c r="E103" s="27"/>
    </row>
    <row r="104" spans="1:5" x14ac:dyDescent="0.25">
      <c r="A104" s="11"/>
      <c r="B104" s="11"/>
      <c r="C104" s="11"/>
      <c r="D104" s="11"/>
      <c r="E104" s="27"/>
    </row>
    <row r="105" spans="1:5" x14ac:dyDescent="0.25">
      <c r="A105" s="11"/>
      <c r="B105" s="11"/>
      <c r="C105" s="11"/>
      <c r="D105" s="11"/>
      <c r="E105" s="27"/>
    </row>
    <row r="106" spans="1:5" x14ac:dyDescent="0.25">
      <c r="A106" s="11"/>
      <c r="B106" s="11"/>
      <c r="C106" s="11"/>
      <c r="D106" s="11"/>
      <c r="E106" s="27"/>
    </row>
    <row r="107" spans="1:5" x14ac:dyDescent="0.25">
      <c r="A107" s="11"/>
      <c r="B107" s="11"/>
      <c r="C107" s="11"/>
      <c r="D107" s="11"/>
      <c r="E107" s="27"/>
    </row>
    <row r="108" spans="1:5" x14ac:dyDescent="0.25">
      <c r="A108" s="11"/>
      <c r="B108" s="11"/>
      <c r="C108" s="11"/>
      <c r="D108" s="11"/>
      <c r="E108" s="27"/>
    </row>
    <row r="109" spans="1:5" x14ac:dyDescent="0.25">
      <c r="A109" s="11"/>
      <c r="B109" s="11"/>
      <c r="C109" s="11"/>
      <c r="D109" s="11"/>
      <c r="E109" s="27"/>
    </row>
    <row r="110" spans="1:5" x14ac:dyDescent="0.25">
      <c r="A110" s="11"/>
      <c r="B110" s="11"/>
      <c r="C110" s="11"/>
      <c r="D110" s="11"/>
      <c r="E110" s="27"/>
    </row>
    <row r="111" spans="1:5" x14ac:dyDescent="0.25">
      <c r="A111" s="11"/>
      <c r="B111" s="11"/>
      <c r="C111" s="11"/>
      <c r="D111" s="11"/>
      <c r="E111" s="2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21284-68D2-4B7C-8891-F33FB2D4174C}">
  <dimension ref="A1:H7"/>
  <sheetViews>
    <sheetView topLeftCell="B1" workbookViewId="0">
      <selection activeCell="F11" sqref="F11"/>
    </sheetView>
  </sheetViews>
  <sheetFormatPr defaultRowHeight="15" x14ac:dyDescent="0.25"/>
  <cols>
    <col min="1" max="1" width="14.85546875" bestFit="1" customWidth="1"/>
    <col min="2" max="2" width="79.85546875" bestFit="1" customWidth="1"/>
    <col min="3" max="3" width="19.140625" customWidth="1"/>
    <col min="4" max="4" width="21.5703125" customWidth="1"/>
    <col min="5" max="6" width="15" customWidth="1"/>
    <col min="8" max="8" width="8.85546875" style="19"/>
  </cols>
  <sheetData>
    <row r="1" spans="1:8" x14ac:dyDescent="0.25">
      <c r="A1" s="3" t="s">
        <v>0</v>
      </c>
      <c r="B1" s="3" t="s">
        <v>1</v>
      </c>
      <c r="C1" s="3" t="s">
        <v>421</v>
      </c>
      <c r="D1" s="3" t="s">
        <v>187</v>
      </c>
      <c r="E1" s="3" t="s">
        <v>188</v>
      </c>
      <c r="F1" s="3" t="s">
        <v>747</v>
      </c>
      <c r="G1" s="3" t="s">
        <v>2</v>
      </c>
      <c r="H1" s="23" t="s">
        <v>749</v>
      </c>
    </row>
    <row r="2" spans="1:8" x14ac:dyDescent="0.25">
      <c r="A2" t="s">
        <v>67</v>
      </c>
      <c r="B2" t="s">
        <v>68</v>
      </c>
      <c r="C2" t="s">
        <v>422</v>
      </c>
      <c r="D2" t="s">
        <v>192</v>
      </c>
      <c r="E2" t="s">
        <v>189</v>
      </c>
      <c r="F2" s="15">
        <v>10592.616879339999</v>
      </c>
      <c r="G2" s="2">
        <v>23264</v>
      </c>
      <c r="H2" s="19">
        <f>ROUND(((G2-F2)/G2), 4)</f>
        <v>0.54469999999999996</v>
      </c>
    </row>
    <row r="3" spans="1:8" x14ac:dyDescent="0.25">
      <c r="A3" t="s">
        <v>69</v>
      </c>
      <c r="B3" t="s">
        <v>70</v>
      </c>
      <c r="C3" t="s">
        <v>422</v>
      </c>
      <c r="D3" t="s">
        <v>192</v>
      </c>
      <c r="E3" t="s">
        <v>189</v>
      </c>
      <c r="F3" s="15">
        <v>19244.664010230001</v>
      </c>
      <c r="G3" s="2">
        <v>40773</v>
      </c>
      <c r="H3" s="19">
        <f t="shared" ref="H3:H7" si="0">ROUND(((G3-F3)/G3), 4)</f>
        <v>0.52800000000000002</v>
      </c>
    </row>
    <row r="4" spans="1:8" x14ac:dyDescent="0.25">
      <c r="A4" t="s">
        <v>71</v>
      </c>
      <c r="B4" t="s">
        <v>72</v>
      </c>
      <c r="C4" t="s">
        <v>422</v>
      </c>
      <c r="D4" t="s">
        <v>192</v>
      </c>
      <c r="E4" t="s">
        <v>190</v>
      </c>
      <c r="F4" s="15">
        <v>9276.7695606199995</v>
      </c>
      <c r="G4" s="2">
        <v>22207</v>
      </c>
      <c r="H4" s="19">
        <f t="shared" si="0"/>
        <v>0.58230000000000004</v>
      </c>
    </row>
    <row r="5" spans="1:8" x14ac:dyDescent="0.25">
      <c r="A5" t="s">
        <v>73</v>
      </c>
      <c r="B5" t="s">
        <v>74</v>
      </c>
      <c r="C5" t="s">
        <v>422</v>
      </c>
      <c r="D5" t="s">
        <v>192</v>
      </c>
      <c r="E5" t="s">
        <v>190</v>
      </c>
      <c r="F5" s="15">
        <v>18751.327004160001</v>
      </c>
      <c r="G5" s="2">
        <v>38919</v>
      </c>
      <c r="H5" s="19">
        <f t="shared" si="0"/>
        <v>0.51819999999999999</v>
      </c>
    </row>
    <row r="6" spans="1:8" x14ac:dyDescent="0.25">
      <c r="A6" t="s">
        <v>81</v>
      </c>
      <c r="B6" t="s">
        <v>82</v>
      </c>
      <c r="C6" t="s">
        <v>422</v>
      </c>
      <c r="D6" t="s">
        <v>192</v>
      </c>
      <c r="E6" t="s">
        <v>189</v>
      </c>
      <c r="F6" s="15">
        <v>1616.1579240000001</v>
      </c>
      <c r="G6" s="2">
        <v>3156</v>
      </c>
      <c r="H6" s="19">
        <f t="shared" si="0"/>
        <v>0.4879</v>
      </c>
    </row>
    <row r="7" spans="1:8" x14ac:dyDescent="0.25">
      <c r="A7" t="s">
        <v>83</v>
      </c>
      <c r="B7" t="s">
        <v>84</v>
      </c>
      <c r="C7" t="s">
        <v>422</v>
      </c>
      <c r="D7" t="s">
        <v>192</v>
      </c>
      <c r="E7" t="s">
        <v>190</v>
      </c>
      <c r="F7" s="15">
        <v>1467.1386575500001</v>
      </c>
      <c r="G7" s="2">
        <v>3490</v>
      </c>
      <c r="H7" s="19">
        <f t="shared" si="0"/>
        <v>0.5796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C1833-5DC7-4038-9B0D-2D47C7DFB4A9}">
  <dimension ref="A1:F3"/>
  <sheetViews>
    <sheetView workbookViewId="0">
      <selection activeCell="H4" sqref="H4"/>
    </sheetView>
  </sheetViews>
  <sheetFormatPr defaultRowHeight="15" x14ac:dyDescent="0.25"/>
  <cols>
    <col min="1" max="1" width="8.85546875" bestFit="1" customWidth="1"/>
    <col min="2" max="2" width="18.5703125" bestFit="1" customWidth="1"/>
    <col min="3" max="3" width="17" bestFit="1" customWidth="1"/>
    <col min="4" max="4" width="17" customWidth="1"/>
    <col min="6" max="6" width="8.85546875" style="19"/>
  </cols>
  <sheetData>
    <row r="1" spans="1:6" s="3" customFormat="1" x14ac:dyDescent="0.25">
      <c r="A1" s="3" t="s">
        <v>0</v>
      </c>
      <c r="B1" s="3" t="s">
        <v>1</v>
      </c>
      <c r="C1" s="3" t="s">
        <v>201</v>
      </c>
      <c r="D1" s="3" t="s">
        <v>747</v>
      </c>
      <c r="E1" s="3" t="s">
        <v>2</v>
      </c>
      <c r="F1" s="23" t="s">
        <v>749</v>
      </c>
    </row>
    <row r="2" spans="1:6" x14ac:dyDescent="0.25">
      <c r="A2" t="s">
        <v>9</v>
      </c>
      <c r="B2" t="s">
        <v>10</v>
      </c>
      <c r="C2" t="s">
        <v>202</v>
      </c>
      <c r="D2" s="15">
        <v>1241.5396056</v>
      </c>
      <c r="E2" s="2">
        <v>2842</v>
      </c>
      <c r="F2" s="19">
        <f>ROUND(((E2-D2)/E2),4)</f>
        <v>0.56310000000000004</v>
      </c>
    </row>
    <row r="3" spans="1:6" x14ac:dyDescent="0.25">
      <c r="A3" t="s">
        <v>11</v>
      </c>
      <c r="B3" t="s">
        <v>12</v>
      </c>
      <c r="C3" t="s">
        <v>203</v>
      </c>
      <c r="D3" s="15">
        <v>873.48072960000002</v>
      </c>
      <c r="E3" s="2">
        <v>2842</v>
      </c>
      <c r="F3" s="19">
        <f>ROUND(((E3-D3)/E3),4)</f>
        <v>0.69269999999999998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78FDA-80BC-4521-8BA7-3C8BD0257781}">
  <dimension ref="A1:H7"/>
  <sheetViews>
    <sheetView topLeftCell="B1" workbookViewId="0">
      <selection activeCell="J7" sqref="J7"/>
    </sheetView>
  </sheetViews>
  <sheetFormatPr defaultRowHeight="15" x14ac:dyDescent="0.25"/>
  <cols>
    <col min="1" max="1" width="14.85546875" bestFit="1" customWidth="1"/>
    <col min="2" max="2" width="79.85546875" bestFit="1" customWidth="1"/>
    <col min="3" max="3" width="11.140625" bestFit="1" customWidth="1"/>
    <col min="4" max="4" width="17" bestFit="1" customWidth="1"/>
    <col min="5" max="5" width="9.140625" bestFit="1" customWidth="1"/>
    <col min="6" max="6" width="10.140625" bestFit="1" customWidth="1"/>
    <col min="8" max="8" width="8.85546875" style="19"/>
  </cols>
  <sheetData>
    <row r="1" spans="1:8" x14ac:dyDescent="0.25">
      <c r="A1" s="3" t="s">
        <v>0</v>
      </c>
      <c r="B1" s="3" t="s">
        <v>1</v>
      </c>
      <c r="C1" s="3" t="s">
        <v>421</v>
      </c>
      <c r="D1" s="3" t="s">
        <v>187</v>
      </c>
      <c r="E1" s="3" t="s">
        <v>188</v>
      </c>
      <c r="F1" s="3" t="s">
        <v>747</v>
      </c>
      <c r="G1" s="3" t="s">
        <v>2</v>
      </c>
      <c r="H1" s="23" t="s">
        <v>749</v>
      </c>
    </row>
    <row r="2" spans="1:8" x14ac:dyDescent="0.25">
      <c r="A2" t="s">
        <v>87</v>
      </c>
      <c r="B2" t="s">
        <v>88</v>
      </c>
      <c r="C2" t="s">
        <v>422</v>
      </c>
      <c r="D2" t="s">
        <v>192</v>
      </c>
      <c r="E2" t="s">
        <v>189</v>
      </c>
      <c r="F2" s="15">
        <v>15389.500035380001</v>
      </c>
      <c r="G2" s="2">
        <v>38919</v>
      </c>
      <c r="H2" s="19">
        <f>ROUND(((G2-F2)/G2), 4)</f>
        <v>0.60460000000000003</v>
      </c>
    </row>
    <row r="3" spans="1:8" x14ac:dyDescent="0.25">
      <c r="A3" t="s">
        <v>89</v>
      </c>
      <c r="B3" t="s">
        <v>90</v>
      </c>
      <c r="C3" t="s">
        <v>422</v>
      </c>
      <c r="D3" t="s">
        <v>192</v>
      </c>
      <c r="E3" t="s">
        <v>189</v>
      </c>
      <c r="F3" s="15">
        <v>28015.56478638</v>
      </c>
      <c r="G3" s="2">
        <v>61443</v>
      </c>
      <c r="H3" s="19">
        <f t="shared" ref="H3:H7" si="0">ROUND(((G3-F3)/G3), 4)</f>
        <v>0.54400000000000004</v>
      </c>
    </row>
    <row r="4" spans="1:8" x14ac:dyDescent="0.25">
      <c r="A4" t="s">
        <v>91</v>
      </c>
      <c r="B4" t="s">
        <v>92</v>
      </c>
      <c r="C4" t="s">
        <v>422</v>
      </c>
      <c r="D4" t="s">
        <v>192</v>
      </c>
      <c r="E4" t="s">
        <v>190</v>
      </c>
      <c r="F4" s="15">
        <v>13415.229057299999</v>
      </c>
      <c r="G4" s="2">
        <v>38919</v>
      </c>
      <c r="H4" s="19">
        <f t="shared" si="0"/>
        <v>0.65529999999999999</v>
      </c>
    </row>
    <row r="5" spans="1:8" x14ac:dyDescent="0.25">
      <c r="A5" t="s">
        <v>93</v>
      </c>
      <c r="B5" t="s">
        <v>94</v>
      </c>
      <c r="C5" t="s">
        <v>422</v>
      </c>
      <c r="D5" t="s">
        <v>192</v>
      </c>
      <c r="E5" t="s">
        <v>190</v>
      </c>
      <c r="F5" s="15">
        <v>27275.40545161</v>
      </c>
      <c r="G5" s="2">
        <v>58771</v>
      </c>
      <c r="H5" s="19">
        <f t="shared" si="0"/>
        <v>0.53590000000000004</v>
      </c>
    </row>
    <row r="6" spans="1:8" x14ac:dyDescent="0.25">
      <c r="A6" t="s">
        <v>81</v>
      </c>
      <c r="B6" t="s">
        <v>82</v>
      </c>
      <c r="C6" t="s">
        <v>422</v>
      </c>
      <c r="D6" t="s">
        <v>192</v>
      </c>
      <c r="E6" t="s">
        <v>189</v>
      </c>
      <c r="F6" s="15">
        <v>1616.1579240000001</v>
      </c>
      <c r="G6" s="2">
        <v>3156</v>
      </c>
      <c r="H6" s="19">
        <f t="shared" si="0"/>
        <v>0.4879</v>
      </c>
    </row>
    <row r="7" spans="1:8" x14ac:dyDescent="0.25">
      <c r="A7" t="s">
        <v>83</v>
      </c>
      <c r="B7" t="s">
        <v>84</v>
      </c>
      <c r="C7" t="s">
        <v>422</v>
      </c>
      <c r="D7" t="s">
        <v>192</v>
      </c>
      <c r="E7" t="s">
        <v>190</v>
      </c>
      <c r="F7" s="15">
        <v>1467.1386575500001</v>
      </c>
      <c r="G7" s="2">
        <v>3490</v>
      </c>
      <c r="H7" s="19">
        <f t="shared" si="0"/>
        <v>0.5796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41ECE-6FE5-41E4-9F6E-2DB5B33BB710}">
  <dimension ref="A1:G5"/>
  <sheetViews>
    <sheetView workbookViewId="0">
      <selection activeCell="I6" sqref="I6"/>
    </sheetView>
  </sheetViews>
  <sheetFormatPr defaultRowHeight="15" x14ac:dyDescent="0.25"/>
  <cols>
    <col min="1" max="1" width="14.85546875" bestFit="1" customWidth="1"/>
    <col min="2" max="2" width="83.85546875" bestFit="1" customWidth="1"/>
    <col min="3" max="3" width="10.42578125" bestFit="1" customWidth="1"/>
    <col min="4" max="4" width="19.140625" bestFit="1" customWidth="1"/>
    <col min="5" max="5" width="19.140625" customWidth="1"/>
    <col min="7" max="7" width="8.85546875" style="19"/>
  </cols>
  <sheetData>
    <row r="1" spans="1:7" x14ac:dyDescent="0.25">
      <c r="A1" s="3" t="s">
        <v>0</v>
      </c>
      <c r="B1" s="3" t="s">
        <v>1</v>
      </c>
      <c r="C1" s="3" t="s">
        <v>186</v>
      </c>
      <c r="D1" s="3" t="s">
        <v>187</v>
      </c>
      <c r="E1" s="3" t="s">
        <v>747</v>
      </c>
      <c r="F1" s="3" t="s">
        <v>2</v>
      </c>
      <c r="G1" s="23" t="s">
        <v>749</v>
      </c>
    </row>
    <row r="2" spans="1:7" x14ac:dyDescent="0.25">
      <c r="A2" t="s">
        <v>101</v>
      </c>
      <c r="B2" t="s">
        <v>102</v>
      </c>
      <c r="C2" t="s">
        <v>184</v>
      </c>
      <c r="D2" t="s">
        <v>705</v>
      </c>
      <c r="E2" s="15">
        <v>43066.091794350003</v>
      </c>
      <c r="F2" s="2">
        <v>110044</v>
      </c>
      <c r="G2" s="19">
        <f>ROUND(((F2-E2)/F2), 4)</f>
        <v>0.60860000000000003</v>
      </c>
    </row>
    <row r="3" spans="1:7" x14ac:dyDescent="0.25">
      <c r="A3" t="s">
        <v>105</v>
      </c>
      <c r="B3" t="s">
        <v>106</v>
      </c>
      <c r="C3" t="s">
        <v>184</v>
      </c>
      <c r="D3" t="s">
        <v>705</v>
      </c>
      <c r="E3" s="15">
        <v>6671.6568218299999</v>
      </c>
      <c r="F3" s="2">
        <v>15986</v>
      </c>
      <c r="G3" s="19">
        <f t="shared" ref="G3:G5" si="0">ROUND(((F3-E3)/F3), 4)</f>
        <v>0.5827</v>
      </c>
    </row>
    <row r="4" spans="1:7" x14ac:dyDescent="0.25">
      <c r="A4" t="s">
        <v>103</v>
      </c>
      <c r="B4" t="s">
        <v>104</v>
      </c>
      <c r="C4" t="s">
        <v>185</v>
      </c>
      <c r="D4" t="s">
        <v>705</v>
      </c>
      <c r="E4" s="15">
        <v>96572.27458841</v>
      </c>
      <c r="F4" s="2">
        <v>211304</v>
      </c>
      <c r="G4" s="19">
        <f t="shared" si="0"/>
        <v>0.54300000000000004</v>
      </c>
    </row>
    <row r="5" spans="1:7" x14ac:dyDescent="0.25">
      <c r="A5" t="s">
        <v>107</v>
      </c>
      <c r="B5" t="s">
        <v>108</v>
      </c>
      <c r="C5" t="s">
        <v>185</v>
      </c>
      <c r="D5" t="s">
        <v>705</v>
      </c>
      <c r="E5" s="15">
        <v>11096.759082209999</v>
      </c>
      <c r="F5" s="2">
        <v>27072</v>
      </c>
      <c r="G5" s="19">
        <f t="shared" si="0"/>
        <v>0.59009999999999996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46B0E-37A5-4181-9C58-3C1127A0CA35}">
  <dimension ref="A1:G37"/>
  <sheetViews>
    <sheetView topLeftCell="A10" workbookViewId="0">
      <selection activeCell="I31" sqref="I31"/>
    </sheetView>
  </sheetViews>
  <sheetFormatPr defaultRowHeight="15" x14ac:dyDescent="0.25"/>
  <cols>
    <col min="1" max="1" width="13.140625" bestFit="1" customWidth="1"/>
    <col min="2" max="2" width="42.85546875" bestFit="1" customWidth="1"/>
    <col min="3" max="3" width="9.85546875" bestFit="1" customWidth="1"/>
    <col min="7" max="7" width="8.85546875" style="19"/>
  </cols>
  <sheetData>
    <row r="1" spans="1:7" s="3" customFormat="1" x14ac:dyDescent="0.25">
      <c r="A1" s="3" t="s">
        <v>0</v>
      </c>
      <c r="B1" s="3" t="s">
        <v>1</v>
      </c>
      <c r="C1" s="3" t="s">
        <v>186</v>
      </c>
      <c r="D1" s="3" t="s">
        <v>204</v>
      </c>
      <c r="E1" s="3" t="s">
        <v>747</v>
      </c>
      <c r="F1" s="3" t="s">
        <v>2</v>
      </c>
      <c r="G1" s="23" t="s">
        <v>758</v>
      </c>
    </row>
    <row r="2" spans="1:7" x14ac:dyDescent="0.25">
      <c r="A2" t="s">
        <v>53</v>
      </c>
      <c r="B2" t="s">
        <v>54</v>
      </c>
      <c r="C2" s="1" t="s">
        <v>183</v>
      </c>
      <c r="D2" t="s">
        <v>210</v>
      </c>
      <c r="E2" s="15">
        <v>21.595497999999999</v>
      </c>
      <c r="F2" s="2">
        <v>106</v>
      </c>
      <c r="G2" s="19">
        <f>ROUND(((F2-E2)/F2), 4)</f>
        <v>0.79630000000000001</v>
      </c>
    </row>
    <row r="3" spans="1:7" x14ac:dyDescent="0.25">
      <c r="A3" t="s">
        <v>55</v>
      </c>
      <c r="B3" t="s">
        <v>56</v>
      </c>
      <c r="C3" s="1" t="s">
        <v>183</v>
      </c>
      <c r="D3" t="s">
        <v>211</v>
      </c>
      <c r="E3" s="15">
        <v>31.346775999999998</v>
      </c>
      <c r="F3" s="2">
        <v>118</v>
      </c>
      <c r="G3" s="19">
        <f t="shared" ref="G3:G37" si="0">ROUND(((F3-E3)/F3), 4)</f>
        <v>0.73429999999999995</v>
      </c>
    </row>
    <row r="4" spans="1:7" x14ac:dyDescent="0.25">
      <c r="A4" t="s">
        <v>57</v>
      </c>
      <c r="B4" t="s">
        <v>58</v>
      </c>
      <c r="C4" s="1" t="s">
        <v>183</v>
      </c>
      <c r="D4" t="s">
        <v>208</v>
      </c>
      <c r="E4" s="15">
        <v>41.098053999999998</v>
      </c>
      <c r="F4" s="2">
        <v>144</v>
      </c>
      <c r="G4" s="19">
        <f t="shared" si="0"/>
        <v>0.71460000000000001</v>
      </c>
    </row>
    <row r="5" spans="1:7" x14ac:dyDescent="0.25">
      <c r="A5" t="s">
        <v>59</v>
      </c>
      <c r="B5" t="s">
        <v>60</v>
      </c>
      <c r="C5" s="1" t="s">
        <v>183</v>
      </c>
      <c r="D5" t="s">
        <v>209</v>
      </c>
      <c r="E5" s="15">
        <v>82.979331999999999</v>
      </c>
      <c r="F5" s="2">
        <v>208</v>
      </c>
      <c r="G5" s="19">
        <f t="shared" si="0"/>
        <v>0.60109999999999997</v>
      </c>
    </row>
    <row r="6" spans="1:7" x14ac:dyDescent="0.25">
      <c r="A6" t="s">
        <v>61</v>
      </c>
      <c r="B6" t="s">
        <v>62</v>
      </c>
      <c r="C6" s="1" t="s">
        <v>183</v>
      </c>
      <c r="D6" t="s">
        <v>212</v>
      </c>
      <c r="E6" s="15">
        <v>92.730609999999999</v>
      </c>
      <c r="F6" s="2">
        <v>260</v>
      </c>
      <c r="G6" s="19">
        <f t="shared" si="0"/>
        <v>0.64329999999999998</v>
      </c>
    </row>
    <row r="7" spans="1:7" x14ac:dyDescent="0.25">
      <c r="A7" t="s">
        <v>63</v>
      </c>
      <c r="B7" t="s">
        <v>64</v>
      </c>
      <c r="C7" s="1" t="s">
        <v>183</v>
      </c>
      <c r="D7" t="s">
        <v>213</v>
      </c>
      <c r="E7" s="15">
        <v>157.20699999999999</v>
      </c>
      <c r="F7" s="2">
        <v>404</v>
      </c>
      <c r="G7" s="19">
        <f t="shared" si="0"/>
        <v>0.6109</v>
      </c>
    </row>
    <row r="8" spans="1:7" x14ac:dyDescent="0.25">
      <c r="A8" t="s">
        <v>149</v>
      </c>
      <c r="B8" t="s">
        <v>759</v>
      </c>
      <c r="C8" s="1" t="s">
        <v>184</v>
      </c>
      <c r="D8" t="s">
        <v>210</v>
      </c>
      <c r="E8" s="15">
        <v>71.011393420000005</v>
      </c>
      <c r="F8" s="2">
        <v>130</v>
      </c>
      <c r="G8" s="19">
        <f t="shared" si="0"/>
        <v>0.45379999999999998</v>
      </c>
    </row>
    <row r="9" spans="1:7" x14ac:dyDescent="0.25">
      <c r="A9" t="s">
        <v>151</v>
      </c>
      <c r="B9" t="s">
        <v>760</v>
      </c>
      <c r="C9" s="1" t="s">
        <v>184</v>
      </c>
      <c r="D9" t="s">
        <v>211</v>
      </c>
      <c r="E9" s="15">
        <v>64.146525130000001</v>
      </c>
      <c r="F9" s="2">
        <v>136</v>
      </c>
      <c r="G9" s="19">
        <f t="shared" si="0"/>
        <v>0.52829999999999999</v>
      </c>
    </row>
    <row r="10" spans="1:7" x14ac:dyDescent="0.25">
      <c r="A10" t="s">
        <v>153</v>
      </c>
      <c r="B10" t="s">
        <v>761</v>
      </c>
      <c r="C10" s="1" t="s">
        <v>184</v>
      </c>
      <c r="D10" t="s">
        <v>208</v>
      </c>
      <c r="E10" s="15">
        <v>70.21797248</v>
      </c>
      <c r="F10" s="2">
        <v>151</v>
      </c>
      <c r="G10" s="19">
        <f t="shared" si="0"/>
        <v>0.53500000000000003</v>
      </c>
    </row>
    <row r="11" spans="1:7" x14ac:dyDescent="0.25">
      <c r="A11" t="s">
        <v>155</v>
      </c>
      <c r="B11" t="s">
        <v>762</v>
      </c>
      <c r="C11" s="1" t="s">
        <v>184</v>
      </c>
      <c r="D11" t="s">
        <v>209</v>
      </c>
      <c r="E11" s="15">
        <v>77.653066659999993</v>
      </c>
      <c r="F11" s="2">
        <v>190</v>
      </c>
      <c r="G11" s="19">
        <f t="shared" si="0"/>
        <v>0.59130000000000005</v>
      </c>
    </row>
    <row r="12" spans="1:7" x14ac:dyDescent="0.25">
      <c r="A12" t="s">
        <v>157</v>
      </c>
      <c r="B12" t="s">
        <v>763</v>
      </c>
      <c r="C12" s="1" t="s">
        <v>184</v>
      </c>
      <c r="D12" t="s">
        <v>212</v>
      </c>
      <c r="E12" s="15">
        <v>126.47948239999999</v>
      </c>
      <c r="F12" s="2">
        <v>248</v>
      </c>
      <c r="G12" s="19">
        <f t="shared" si="0"/>
        <v>0.49</v>
      </c>
    </row>
    <row r="13" spans="1:7" x14ac:dyDescent="0.25">
      <c r="A13" t="s">
        <v>159</v>
      </c>
      <c r="B13" t="s">
        <v>764</v>
      </c>
      <c r="C13" s="1" t="s">
        <v>184</v>
      </c>
      <c r="D13" t="s">
        <v>213</v>
      </c>
      <c r="E13" s="15">
        <v>110.42222760999999</v>
      </c>
      <c r="F13" s="2">
        <v>370</v>
      </c>
      <c r="G13" s="19">
        <f t="shared" si="0"/>
        <v>0.7016</v>
      </c>
    </row>
    <row r="14" spans="1:7" x14ac:dyDescent="0.25">
      <c r="A14" t="s">
        <v>149</v>
      </c>
      <c r="B14" t="s">
        <v>150</v>
      </c>
      <c r="C14" s="1" t="s">
        <v>185</v>
      </c>
      <c r="D14" t="s">
        <v>210</v>
      </c>
      <c r="E14" s="15">
        <v>71.011393420000005</v>
      </c>
      <c r="F14" s="2">
        <v>130</v>
      </c>
      <c r="G14" s="19">
        <f t="shared" si="0"/>
        <v>0.45379999999999998</v>
      </c>
    </row>
    <row r="15" spans="1:7" x14ac:dyDescent="0.25">
      <c r="A15" t="s">
        <v>151</v>
      </c>
      <c r="B15" t="s">
        <v>152</v>
      </c>
      <c r="C15" s="1" t="s">
        <v>185</v>
      </c>
      <c r="D15" t="s">
        <v>211</v>
      </c>
      <c r="E15" s="15">
        <v>64.146525130000001</v>
      </c>
      <c r="F15" s="2">
        <v>136</v>
      </c>
      <c r="G15" s="19">
        <f t="shared" si="0"/>
        <v>0.52829999999999999</v>
      </c>
    </row>
    <row r="16" spans="1:7" x14ac:dyDescent="0.25">
      <c r="A16" t="s">
        <v>153</v>
      </c>
      <c r="B16" t="s">
        <v>154</v>
      </c>
      <c r="C16" s="1" t="s">
        <v>185</v>
      </c>
      <c r="D16" t="s">
        <v>208</v>
      </c>
      <c r="E16" s="15">
        <v>70.21797248</v>
      </c>
      <c r="F16" s="2">
        <v>151</v>
      </c>
      <c r="G16" s="19">
        <f t="shared" si="0"/>
        <v>0.53500000000000003</v>
      </c>
    </row>
    <row r="17" spans="1:7" x14ac:dyDescent="0.25">
      <c r="A17" t="s">
        <v>155</v>
      </c>
      <c r="B17" t="s">
        <v>156</v>
      </c>
      <c r="C17" s="1" t="s">
        <v>185</v>
      </c>
      <c r="D17" t="s">
        <v>209</v>
      </c>
      <c r="E17" s="15">
        <v>77.653066659999993</v>
      </c>
      <c r="F17" s="2">
        <v>190</v>
      </c>
      <c r="G17" s="19">
        <f t="shared" si="0"/>
        <v>0.59130000000000005</v>
      </c>
    </row>
    <row r="18" spans="1:7" x14ac:dyDescent="0.25">
      <c r="A18" t="s">
        <v>157</v>
      </c>
      <c r="B18" t="s">
        <v>158</v>
      </c>
      <c r="C18" s="1" t="s">
        <v>185</v>
      </c>
      <c r="D18" t="s">
        <v>212</v>
      </c>
      <c r="E18" s="15">
        <v>126.47948239999999</v>
      </c>
      <c r="F18" s="2">
        <v>248</v>
      </c>
      <c r="G18" s="19">
        <f t="shared" si="0"/>
        <v>0.49</v>
      </c>
    </row>
    <row r="19" spans="1:7" x14ac:dyDescent="0.25">
      <c r="A19" t="s">
        <v>159</v>
      </c>
      <c r="B19" t="s">
        <v>160</v>
      </c>
      <c r="C19" s="1" t="s">
        <v>185</v>
      </c>
      <c r="D19" t="s">
        <v>213</v>
      </c>
      <c r="E19" s="15">
        <v>110.42222760999999</v>
      </c>
      <c r="F19" s="2">
        <v>370</v>
      </c>
      <c r="G19" s="19">
        <f t="shared" si="0"/>
        <v>0.7016</v>
      </c>
    </row>
    <row r="20" spans="1:7" x14ac:dyDescent="0.25">
      <c r="A20" t="s">
        <v>53</v>
      </c>
      <c r="B20" t="s">
        <v>721</v>
      </c>
      <c r="C20" s="1" t="s">
        <v>195</v>
      </c>
      <c r="D20" t="s">
        <v>210</v>
      </c>
      <c r="E20" s="15">
        <v>21.595497999999999</v>
      </c>
      <c r="F20" s="2">
        <v>106</v>
      </c>
      <c r="G20" s="19">
        <f t="shared" si="0"/>
        <v>0.79630000000000001</v>
      </c>
    </row>
    <row r="21" spans="1:7" x14ac:dyDescent="0.25">
      <c r="A21" t="s">
        <v>55</v>
      </c>
      <c r="B21" t="s">
        <v>722</v>
      </c>
      <c r="C21" s="1" t="s">
        <v>195</v>
      </c>
      <c r="D21" t="s">
        <v>211</v>
      </c>
      <c r="E21" s="15">
        <v>31.346775999999998</v>
      </c>
      <c r="F21" s="2">
        <v>118</v>
      </c>
      <c r="G21" s="19">
        <f t="shared" si="0"/>
        <v>0.73429999999999995</v>
      </c>
    </row>
    <row r="22" spans="1:7" x14ac:dyDescent="0.25">
      <c r="A22" t="s">
        <v>57</v>
      </c>
      <c r="B22" t="s">
        <v>723</v>
      </c>
      <c r="C22" s="1" t="s">
        <v>195</v>
      </c>
      <c r="D22" t="s">
        <v>208</v>
      </c>
      <c r="E22" s="15">
        <v>41.098053999999998</v>
      </c>
      <c r="F22" s="2">
        <v>144</v>
      </c>
      <c r="G22" s="19">
        <f t="shared" si="0"/>
        <v>0.71460000000000001</v>
      </c>
    </row>
    <row r="23" spans="1:7" x14ac:dyDescent="0.25">
      <c r="A23" t="s">
        <v>59</v>
      </c>
      <c r="B23" t="s">
        <v>724</v>
      </c>
      <c r="C23" s="1" t="s">
        <v>195</v>
      </c>
      <c r="D23" t="s">
        <v>209</v>
      </c>
      <c r="E23" s="15">
        <v>82.979331999999999</v>
      </c>
      <c r="F23" s="2">
        <v>208</v>
      </c>
      <c r="G23" s="19">
        <f t="shared" si="0"/>
        <v>0.60109999999999997</v>
      </c>
    </row>
    <row r="24" spans="1:7" x14ac:dyDescent="0.25">
      <c r="A24" t="s">
        <v>61</v>
      </c>
      <c r="B24" t="s">
        <v>725</v>
      </c>
      <c r="C24" s="1" t="s">
        <v>195</v>
      </c>
      <c r="D24" t="s">
        <v>212</v>
      </c>
      <c r="E24" s="15">
        <v>92.730609999999999</v>
      </c>
      <c r="F24" s="2">
        <v>260</v>
      </c>
      <c r="G24" s="19">
        <f t="shared" si="0"/>
        <v>0.64329999999999998</v>
      </c>
    </row>
    <row r="25" spans="1:7" x14ac:dyDescent="0.25">
      <c r="A25" t="s">
        <v>63</v>
      </c>
      <c r="B25" t="s">
        <v>726</v>
      </c>
      <c r="C25" s="1" t="s">
        <v>195</v>
      </c>
      <c r="D25" t="s">
        <v>213</v>
      </c>
      <c r="E25" s="15">
        <v>157.20699999999999</v>
      </c>
      <c r="F25" s="2">
        <v>404</v>
      </c>
      <c r="G25" s="19">
        <f t="shared" si="0"/>
        <v>0.6109</v>
      </c>
    </row>
    <row r="26" spans="1:7" x14ac:dyDescent="0.25">
      <c r="A26" t="s">
        <v>149</v>
      </c>
      <c r="B26" t="s">
        <v>727</v>
      </c>
      <c r="C26" s="1" t="s">
        <v>196</v>
      </c>
      <c r="D26" t="s">
        <v>210</v>
      </c>
      <c r="E26" s="15">
        <v>71.011393420000005</v>
      </c>
      <c r="F26" s="2">
        <v>130</v>
      </c>
      <c r="G26" s="19">
        <f t="shared" si="0"/>
        <v>0.45379999999999998</v>
      </c>
    </row>
    <row r="27" spans="1:7" x14ac:dyDescent="0.25">
      <c r="A27" t="s">
        <v>151</v>
      </c>
      <c r="B27" t="s">
        <v>728</v>
      </c>
      <c r="C27" s="1" t="s">
        <v>196</v>
      </c>
      <c r="D27" t="s">
        <v>211</v>
      </c>
      <c r="E27" s="15">
        <v>64.146525130000001</v>
      </c>
      <c r="F27" s="2">
        <v>136</v>
      </c>
      <c r="G27" s="19">
        <f t="shared" si="0"/>
        <v>0.52829999999999999</v>
      </c>
    </row>
    <row r="28" spans="1:7" x14ac:dyDescent="0.25">
      <c r="A28" t="s">
        <v>153</v>
      </c>
      <c r="B28" t="s">
        <v>729</v>
      </c>
      <c r="C28" s="1" t="s">
        <v>196</v>
      </c>
      <c r="D28" t="s">
        <v>208</v>
      </c>
      <c r="E28" s="15">
        <v>70.21797248</v>
      </c>
      <c r="F28" s="2">
        <v>151</v>
      </c>
      <c r="G28" s="19">
        <f t="shared" si="0"/>
        <v>0.53500000000000003</v>
      </c>
    </row>
    <row r="29" spans="1:7" x14ac:dyDescent="0.25">
      <c r="A29" t="s">
        <v>155</v>
      </c>
      <c r="B29" t="s">
        <v>730</v>
      </c>
      <c r="C29" s="1" t="s">
        <v>196</v>
      </c>
      <c r="D29" t="s">
        <v>209</v>
      </c>
      <c r="E29" s="15">
        <v>77.653066659999993</v>
      </c>
      <c r="F29" s="2">
        <v>190</v>
      </c>
      <c r="G29" s="19">
        <f t="shared" si="0"/>
        <v>0.59130000000000005</v>
      </c>
    </row>
    <row r="30" spans="1:7" x14ac:dyDescent="0.25">
      <c r="A30" t="s">
        <v>157</v>
      </c>
      <c r="B30" t="s">
        <v>731</v>
      </c>
      <c r="C30" s="1" t="s">
        <v>196</v>
      </c>
      <c r="D30" t="s">
        <v>212</v>
      </c>
      <c r="E30" s="15">
        <v>126.47948239999999</v>
      </c>
      <c r="F30" s="2">
        <v>248</v>
      </c>
      <c r="G30" s="19">
        <f t="shared" si="0"/>
        <v>0.49</v>
      </c>
    </row>
    <row r="31" spans="1:7" x14ac:dyDescent="0.25">
      <c r="A31" t="s">
        <v>159</v>
      </c>
      <c r="B31" t="s">
        <v>732</v>
      </c>
      <c r="C31" s="1" t="s">
        <v>196</v>
      </c>
      <c r="D31" t="s">
        <v>213</v>
      </c>
      <c r="E31" s="15">
        <v>110.42222760999999</v>
      </c>
      <c r="F31" s="2">
        <v>370</v>
      </c>
      <c r="G31" s="19">
        <f t="shared" si="0"/>
        <v>0.7016</v>
      </c>
    </row>
    <row r="32" spans="1:7" x14ac:dyDescent="0.25">
      <c r="A32" t="s">
        <v>149</v>
      </c>
      <c r="B32" t="s">
        <v>733</v>
      </c>
      <c r="C32" s="1" t="s">
        <v>197</v>
      </c>
      <c r="D32" t="s">
        <v>210</v>
      </c>
      <c r="E32" s="15">
        <v>71.011393420000005</v>
      </c>
      <c r="F32" s="2">
        <v>130</v>
      </c>
      <c r="G32" s="19">
        <f t="shared" si="0"/>
        <v>0.45379999999999998</v>
      </c>
    </row>
    <row r="33" spans="1:7" x14ac:dyDescent="0.25">
      <c r="A33" t="s">
        <v>151</v>
      </c>
      <c r="B33" t="s">
        <v>734</v>
      </c>
      <c r="C33" s="1" t="s">
        <v>197</v>
      </c>
      <c r="D33" t="s">
        <v>211</v>
      </c>
      <c r="E33" s="15">
        <v>64.146525130000001</v>
      </c>
      <c r="F33" s="2">
        <v>136</v>
      </c>
      <c r="G33" s="19">
        <f t="shared" si="0"/>
        <v>0.52829999999999999</v>
      </c>
    </row>
    <row r="34" spans="1:7" x14ac:dyDescent="0.25">
      <c r="A34" t="s">
        <v>153</v>
      </c>
      <c r="B34" t="s">
        <v>735</v>
      </c>
      <c r="C34" s="1" t="s">
        <v>197</v>
      </c>
      <c r="D34" t="s">
        <v>208</v>
      </c>
      <c r="E34" s="15">
        <v>70.21797248</v>
      </c>
      <c r="F34" s="2">
        <v>151</v>
      </c>
      <c r="G34" s="19">
        <f t="shared" si="0"/>
        <v>0.53500000000000003</v>
      </c>
    </row>
    <row r="35" spans="1:7" x14ac:dyDescent="0.25">
      <c r="A35" t="s">
        <v>155</v>
      </c>
      <c r="B35" t="s">
        <v>736</v>
      </c>
      <c r="C35" s="1" t="s">
        <v>197</v>
      </c>
      <c r="D35" t="s">
        <v>209</v>
      </c>
      <c r="E35" s="15">
        <v>77.653066659999993</v>
      </c>
      <c r="F35" s="2">
        <v>190</v>
      </c>
      <c r="G35" s="19">
        <f t="shared" si="0"/>
        <v>0.59130000000000005</v>
      </c>
    </row>
    <row r="36" spans="1:7" x14ac:dyDescent="0.25">
      <c r="A36" t="s">
        <v>157</v>
      </c>
      <c r="B36" t="s">
        <v>737</v>
      </c>
      <c r="C36" s="1" t="s">
        <v>197</v>
      </c>
      <c r="D36" t="s">
        <v>212</v>
      </c>
      <c r="E36" s="15">
        <v>126.47948239999999</v>
      </c>
      <c r="F36" s="2">
        <v>248</v>
      </c>
      <c r="G36" s="19">
        <f t="shared" si="0"/>
        <v>0.49</v>
      </c>
    </row>
    <row r="37" spans="1:7" x14ac:dyDescent="0.25">
      <c r="A37" t="s">
        <v>159</v>
      </c>
      <c r="B37" t="s">
        <v>738</v>
      </c>
      <c r="C37" s="1" t="s">
        <v>197</v>
      </c>
      <c r="D37" t="s">
        <v>213</v>
      </c>
      <c r="E37" s="15">
        <v>110.42222760999999</v>
      </c>
      <c r="F37" s="2">
        <v>370</v>
      </c>
      <c r="G37" s="19">
        <f t="shared" si="0"/>
        <v>0.7016</v>
      </c>
    </row>
  </sheetData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87D21-F885-403B-A303-1EC36DC187C1}">
  <dimension ref="A1:G10"/>
  <sheetViews>
    <sheetView workbookViewId="0">
      <selection activeCell="I10" sqref="I10"/>
    </sheetView>
  </sheetViews>
  <sheetFormatPr defaultRowHeight="15" x14ac:dyDescent="0.25"/>
  <cols>
    <col min="1" max="1" width="13.85546875" bestFit="1" customWidth="1"/>
    <col min="2" max="2" width="56.85546875" bestFit="1" customWidth="1"/>
    <col min="3" max="3" width="17.140625" customWidth="1"/>
    <col min="4" max="4" width="13.140625" bestFit="1" customWidth="1"/>
    <col min="5" max="5" width="13.140625" customWidth="1"/>
    <col min="7" max="7" width="8.85546875" style="19"/>
  </cols>
  <sheetData>
    <row r="1" spans="1:7" x14ac:dyDescent="0.25">
      <c r="A1" s="3" t="s">
        <v>0</v>
      </c>
      <c r="B1" s="3" t="s">
        <v>1</v>
      </c>
      <c r="C1" s="3" t="s">
        <v>186</v>
      </c>
      <c r="D1" s="3" t="s">
        <v>421</v>
      </c>
      <c r="E1" s="3" t="s">
        <v>747</v>
      </c>
      <c r="F1" s="3" t="s">
        <v>2</v>
      </c>
      <c r="G1" s="23" t="s">
        <v>749</v>
      </c>
    </row>
    <row r="2" spans="1:7" x14ac:dyDescent="0.25">
      <c r="A2" t="s">
        <v>13</v>
      </c>
      <c r="B2" t="s">
        <v>14</v>
      </c>
      <c r="C2" t="s">
        <v>183</v>
      </c>
      <c r="D2" t="s">
        <v>686</v>
      </c>
      <c r="E2" s="15">
        <v>831.69347073999995</v>
      </c>
      <c r="F2" s="2">
        <v>2003</v>
      </c>
      <c r="G2" s="19">
        <f>ROUND(((F2-E2)/F2), 4)</f>
        <v>0.58479999999999999</v>
      </c>
    </row>
    <row r="3" spans="1:7" x14ac:dyDescent="0.25">
      <c r="A3" t="s">
        <v>15</v>
      </c>
      <c r="B3" t="s">
        <v>16</v>
      </c>
      <c r="C3" t="s">
        <v>183</v>
      </c>
      <c r="D3" t="s">
        <v>193</v>
      </c>
      <c r="E3" s="15">
        <v>12401.8341975</v>
      </c>
      <c r="F3" s="2">
        <v>26073</v>
      </c>
      <c r="G3" s="19">
        <f t="shared" ref="G3:G10" si="0">ROUND(((F3-E3)/F3), 4)</f>
        <v>0.52429999999999999</v>
      </c>
    </row>
    <row r="4" spans="1:7" x14ac:dyDescent="0.25">
      <c r="A4" t="s">
        <v>25</v>
      </c>
      <c r="B4" t="s">
        <v>26</v>
      </c>
      <c r="C4" t="s">
        <v>183</v>
      </c>
      <c r="D4" t="s">
        <v>687</v>
      </c>
      <c r="E4" s="15">
        <v>2268.5802637699999</v>
      </c>
      <c r="F4" s="2">
        <v>5969</v>
      </c>
      <c r="G4" s="19">
        <f t="shared" si="0"/>
        <v>0.61990000000000001</v>
      </c>
    </row>
    <row r="5" spans="1:7" x14ac:dyDescent="0.25">
      <c r="A5" t="s">
        <v>75</v>
      </c>
      <c r="B5" t="s">
        <v>76</v>
      </c>
      <c r="C5" t="s">
        <v>184</v>
      </c>
      <c r="D5" t="s">
        <v>193</v>
      </c>
      <c r="E5" s="15">
        <v>12174.196293999999</v>
      </c>
      <c r="F5" s="2">
        <v>16696</v>
      </c>
      <c r="G5" s="19">
        <f t="shared" si="0"/>
        <v>0.27079999999999999</v>
      </c>
    </row>
    <row r="6" spans="1:7" x14ac:dyDescent="0.25">
      <c r="A6" t="s">
        <v>77</v>
      </c>
      <c r="B6" t="s">
        <v>78</v>
      </c>
      <c r="C6" t="s">
        <v>184</v>
      </c>
      <c r="D6" t="s">
        <v>687</v>
      </c>
      <c r="E6" s="15">
        <v>4542.40155968</v>
      </c>
      <c r="F6" s="2">
        <v>10644</v>
      </c>
      <c r="G6" s="19">
        <f t="shared" si="0"/>
        <v>0.57320000000000004</v>
      </c>
    </row>
    <row r="7" spans="1:7" x14ac:dyDescent="0.25">
      <c r="A7" t="s">
        <v>79</v>
      </c>
      <c r="B7" t="s">
        <v>80</v>
      </c>
      <c r="C7" t="s">
        <v>184</v>
      </c>
      <c r="D7" t="s">
        <v>686</v>
      </c>
      <c r="E7" s="15">
        <v>2274.4927978999999</v>
      </c>
      <c r="F7" s="2">
        <v>5531</v>
      </c>
      <c r="G7" s="19">
        <f t="shared" si="0"/>
        <v>0.58879999999999999</v>
      </c>
    </row>
    <row r="8" spans="1:7" x14ac:dyDescent="0.25">
      <c r="A8" t="s">
        <v>95</v>
      </c>
      <c r="B8" t="s">
        <v>96</v>
      </c>
      <c r="C8" t="s">
        <v>185</v>
      </c>
      <c r="D8" t="s">
        <v>193</v>
      </c>
      <c r="E8" s="15">
        <v>7740.5358340000002</v>
      </c>
      <c r="F8" s="2">
        <v>18546</v>
      </c>
      <c r="G8" s="19">
        <f t="shared" si="0"/>
        <v>0.58260000000000001</v>
      </c>
    </row>
    <row r="9" spans="1:7" x14ac:dyDescent="0.25">
      <c r="A9" t="s">
        <v>97</v>
      </c>
      <c r="B9" t="s">
        <v>98</v>
      </c>
      <c r="C9" t="s">
        <v>185</v>
      </c>
      <c r="D9" t="s">
        <v>687</v>
      </c>
      <c r="E9" s="15">
        <v>9161.2388966199997</v>
      </c>
      <c r="F9" s="2">
        <v>20436</v>
      </c>
      <c r="G9" s="19">
        <f t="shared" si="0"/>
        <v>0.55169999999999997</v>
      </c>
    </row>
    <row r="10" spans="1:7" x14ac:dyDescent="0.25">
      <c r="A10" t="s">
        <v>99</v>
      </c>
      <c r="B10" t="s">
        <v>100</v>
      </c>
      <c r="C10" t="s">
        <v>185</v>
      </c>
      <c r="D10" t="s">
        <v>686</v>
      </c>
      <c r="E10" s="15">
        <v>4371.0633838200001</v>
      </c>
      <c r="F10" s="2">
        <v>10435</v>
      </c>
      <c r="G10" s="19">
        <f t="shared" si="0"/>
        <v>0.58109999999999995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D93CD-4665-42DC-AC4B-4CF05C73D8EA}">
  <dimension ref="A1:J45"/>
  <sheetViews>
    <sheetView zoomScaleNormal="100" workbookViewId="0">
      <selection activeCell="I8" sqref="I8"/>
    </sheetView>
  </sheetViews>
  <sheetFormatPr defaultRowHeight="15" x14ac:dyDescent="0.25"/>
  <cols>
    <col min="1" max="1" width="12" customWidth="1"/>
    <col min="2" max="2" width="15.5703125" customWidth="1"/>
    <col min="3" max="3" width="17.42578125" bestFit="1" customWidth="1"/>
    <col min="4" max="4" width="8.85546875" bestFit="1" customWidth="1"/>
    <col min="5" max="5" width="12" bestFit="1" customWidth="1"/>
    <col min="6" max="6" width="13.140625" bestFit="1" customWidth="1"/>
    <col min="7" max="8" width="13.140625" customWidth="1"/>
    <col min="9" max="9" width="10.5703125" bestFit="1" customWidth="1"/>
    <col min="10" max="10" width="8.85546875" style="19"/>
  </cols>
  <sheetData>
    <row r="1" spans="1:10" s="6" customFormat="1" x14ac:dyDescent="0.25">
      <c r="A1" s="6" t="s">
        <v>0</v>
      </c>
      <c r="B1" s="6" t="s">
        <v>707</v>
      </c>
      <c r="C1" s="6" t="s">
        <v>1</v>
      </c>
      <c r="D1" s="6" t="s">
        <v>263</v>
      </c>
      <c r="E1" s="6" t="s">
        <v>204</v>
      </c>
      <c r="F1" s="6" t="s">
        <v>205</v>
      </c>
      <c r="G1" s="6" t="s">
        <v>270</v>
      </c>
      <c r="H1" s="6" t="s">
        <v>747</v>
      </c>
      <c r="I1" s="6" t="s">
        <v>2</v>
      </c>
      <c r="J1" s="24" t="s">
        <v>749</v>
      </c>
    </row>
    <row r="2" spans="1:10" x14ac:dyDescent="0.25">
      <c r="A2" s="7">
        <v>158276</v>
      </c>
      <c r="B2" s="7" t="s">
        <v>712</v>
      </c>
      <c r="C2" s="5" t="s">
        <v>251</v>
      </c>
      <c r="D2" t="s">
        <v>265</v>
      </c>
      <c r="E2">
        <v>3</v>
      </c>
      <c r="F2">
        <v>250</v>
      </c>
      <c r="G2">
        <v>3</v>
      </c>
      <c r="H2" s="25">
        <v>1400.45</v>
      </c>
      <c r="I2" s="8">
        <v>5256</v>
      </c>
      <c r="J2" s="19">
        <f>ROUND(((I2-H2)/I2),4)</f>
        <v>0.73360000000000003</v>
      </c>
    </row>
    <row r="3" spans="1:10" x14ac:dyDescent="0.25">
      <c r="A3" s="7">
        <v>158277</v>
      </c>
      <c r="B3" s="7" t="s">
        <v>712</v>
      </c>
      <c r="C3" s="5" t="s">
        <v>252</v>
      </c>
      <c r="D3" t="s">
        <v>265</v>
      </c>
      <c r="E3">
        <v>3</v>
      </c>
      <c r="F3">
        <v>320</v>
      </c>
      <c r="G3">
        <v>3</v>
      </c>
      <c r="H3" s="25">
        <v>1400.45</v>
      </c>
      <c r="I3" s="8">
        <v>5256</v>
      </c>
      <c r="J3" s="19">
        <f>ROUND(((I3-H3)/I3),4)</f>
        <v>0.73360000000000003</v>
      </c>
    </row>
    <row r="4" spans="1:10" x14ac:dyDescent="0.25">
      <c r="A4" s="7">
        <v>158278</v>
      </c>
      <c r="B4" s="7" t="s">
        <v>712</v>
      </c>
      <c r="C4" s="5" t="s">
        <v>253</v>
      </c>
      <c r="D4" t="s">
        <v>265</v>
      </c>
      <c r="E4">
        <v>3</v>
      </c>
      <c r="F4">
        <v>350</v>
      </c>
      <c r="G4">
        <v>3</v>
      </c>
      <c r="H4" s="25">
        <v>1401.9</v>
      </c>
      <c r="I4" s="8">
        <v>5256</v>
      </c>
      <c r="J4" s="19">
        <f t="shared" ref="J4:J45" si="0">ROUND(((I4-H4)/I4),4)</f>
        <v>0.73329999999999995</v>
      </c>
    </row>
    <row r="5" spans="1:10" x14ac:dyDescent="0.25">
      <c r="A5" s="7">
        <v>158279</v>
      </c>
      <c r="B5" s="7" t="s">
        <v>712</v>
      </c>
      <c r="C5" s="5" t="s">
        <v>254</v>
      </c>
      <c r="D5" t="s">
        <v>265</v>
      </c>
      <c r="E5">
        <v>3</v>
      </c>
      <c r="F5">
        <v>400</v>
      </c>
      <c r="G5">
        <v>3</v>
      </c>
      <c r="H5" s="25">
        <v>1400.45</v>
      </c>
      <c r="I5" s="8">
        <v>5256</v>
      </c>
      <c r="J5" s="19">
        <f t="shared" si="0"/>
        <v>0.73360000000000003</v>
      </c>
    </row>
    <row r="6" spans="1:10" x14ac:dyDescent="0.25">
      <c r="A6" s="7">
        <v>158280</v>
      </c>
      <c r="B6" s="7" t="s">
        <v>712</v>
      </c>
      <c r="C6" s="5" t="s">
        <v>255</v>
      </c>
      <c r="D6" t="s">
        <v>266</v>
      </c>
      <c r="E6">
        <v>3</v>
      </c>
      <c r="F6">
        <v>250</v>
      </c>
      <c r="G6">
        <v>3</v>
      </c>
      <c r="H6" s="25">
        <v>1834.28</v>
      </c>
      <c r="I6" s="8">
        <v>7377</v>
      </c>
      <c r="J6" s="19">
        <f t="shared" si="0"/>
        <v>0.75139999999999996</v>
      </c>
    </row>
    <row r="7" spans="1:10" x14ac:dyDescent="0.25">
      <c r="A7" s="7">
        <v>158281</v>
      </c>
      <c r="B7" s="7" t="s">
        <v>712</v>
      </c>
      <c r="C7" s="5" t="s">
        <v>256</v>
      </c>
      <c r="D7" t="s">
        <v>266</v>
      </c>
      <c r="E7">
        <v>3</v>
      </c>
      <c r="F7">
        <v>320</v>
      </c>
      <c r="G7">
        <v>3</v>
      </c>
      <c r="H7" s="25">
        <v>1400.45</v>
      </c>
      <c r="I7" s="8">
        <v>5631</v>
      </c>
      <c r="J7" s="19">
        <f t="shared" si="0"/>
        <v>0.75129999999999997</v>
      </c>
    </row>
    <row r="8" spans="1:10" x14ac:dyDescent="0.25">
      <c r="A8" s="7">
        <v>158282</v>
      </c>
      <c r="B8" s="7" t="s">
        <v>712</v>
      </c>
      <c r="C8" s="5" t="s">
        <v>257</v>
      </c>
      <c r="D8" t="s">
        <v>266</v>
      </c>
      <c r="E8">
        <v>3</v>
      </c>
      <c r="F8">
        <v>350</v>
      </c>
      <c r="G8">
        <v>3</v>
      </c>
      <c r="H8" s="25">
        <v>1400.45</v>
      </c>
      <c r="I8" s="8">
        <v>5631</v>
      </c>
      <c r="J8" s="19">
        <f t="shared" si="0"/>
        <v>0.75129999999999997</v>
      </c>
    </row>
    <row r="9" spans="1:10" x14ac:dyDescent="0.25">
      <c r="A9" s="7">
        <v>158283</v>
      </c>
      <c r="B9" s="7" t="s">
        <v>712</v>
      </c>
      <c r="C9" s="5" t="s">
        <v>258</v>
      </c>
      <c r="D9" t="s">
        <v>266</v>
      </c>
      <c r="E9">
        <v>3</v>
      </c>
      <c r="F9">
        <v>400</v>
      </c>
      <c r="G9">
        <v>3</v>
      </c>
      <c r="H9" s="25">
        <v>1400.45</v>
      </c>
      <c r="I9" s="8">
        <v>5631</v>
      </c>
      <c r="J9" s="19">
        <f t="shared" si="0"/>
        <v>0.75129999999999997</v>
      </c>
    </row>
    <row r="10" spans="1:10" x14ac:dyDescent="0.25">
      <c r="A10" s="7">
        <v>158284</v>
      </c>
      <c r="B10" s="7" t="s">
        <v>712</v>
      </c>
      <c r="C10" s="5" t="s">
        <v>259</v>
      </c>
      <c r="D10" t="s">
        <v>267</v>
      </c>
      <c r="E10">
        <v>3</v>
      </c>
      <c r="F10">
        <v>250</v>
      </c>
      <c r="G10">
        <v>3</v>
      </c>
      <c r="H10" s="25">
        <v>1400.45</v>
      </c>
      <c r="I10" s="8">
        <v>6257</v>
      </c>
      <c r="J10" s="19">
        <f t="shared" si="0"/>
        <v>0.7762</v>
      </c>
    </row>
    <row r="11" spans="1:10" x14ac:dyDescent="0.25">
      <c r="A11" s="7">
        <v>158285</v>
      </c>
      <c r="B11" s="7" t="s">
        <v>712</v>
      </c>
      <c r="C11" s="5" t="s">
        <v>260</v>
      </c>
      <c r="D11" t="s">
        <v>267</v>
      </c>
      <c r="E11">
        <v>3</v>
      </c>
      <c r="F11">
        <v>320</v>
      </c>
      <c r="G11">
        <v>3</v>
      </c>
      <c r="H11" s="25">
        <v>2225.7800000000002</v>
      </c>
      <c r="I11" s="8">
        <v>6257</v>
      </c>
      <c r="J11" s="19">
        <f t="shared" si="0"/>
        <v>0.64429999999999998</v>
      </c>
    </row>
    <row r="12" spans="1:10" x14ac:dyDescent="0.25">
      <c r="A12" s="7">
        <v>158286</v>
      </c>
      <c r="B12" s="7" t="s">
        <v>712</v>
      </c>
      <c r="C12" s="5" t="s">
        <v>261</v>
      </c>
      <c r="D12" t="s">
        <v>267</v>
      </c>
      <c r="E12">
        <v>3</v>
      </c>
      <c r="F12">
        <v>350</v>
      </c>
      <c r="G12">
        <v>3</v>
      </c>
      <c r="H12" s="25">
        <v>2225.7800000000002</v>
      </c>
      <c r="I12" s="8">
        <v>6257</v>
      </c>
      <c r="J12" s="19">
        <f t="shared" si="0"/>
        <v>0.64429999999999998</v>
      </c>
    </row>
    <row r="13" spans="1:10" x14ac:dyDescent="0.25">
      <c r="A13" s="7">
        <v>158287</v>
      </c>
      <c r="B13" s="7" t="s">
        <v>712</v>
      </c>
      <c r="C13" s="5" t="s">
        <v>262</v>
      </c>
      <c r="D13" t="s">
        <v>267</v>
      </c>
      <c r="E13">
        <v>3</v>
      </c>
      <c r="F13">
        <v>400</v>
      </c>
      <c r="G13">
        <v>3</v>
      </c>
      <c r="H13" s="25">
        <v>1400.45</v>
      </c>
      <c r="I13" s="8">
        <v>6257</v>
      </c>
      <c r="J13" s="19">
        <f t="shared" si="0"/>
        <v>0.7762</v>
      </c>
    </row>
    <row r="14" spans="1:10" x14ac:dyDescent="0.25">
      <c r="A14" s="7">
        <v>111554</v>
      </c>
      <c r="B14" s="7" t="s">
        <v>713</v>
      </c>
      <c r="C14" s="5" t="s">
        <v>219</v>
      </c>
      <c r="D14" t="s">
        <v>264</v>
      </c>
      <c r="E14">
        <v>1</v>
      </c>
      <c r="F14">
        <v>16</v>
      </c>
      <c r="G14">
        <v>3</v>
      </c>
      <c r="H14" s="25">
        <v>384.24</v>
      </c>
      <c r="I14" s="8">
        <v>1665</v>
      </c>
      <c r="J14" s="19">
        <f t="shared" si="0"/>
        <v>0.76919999999999999</v>
      </c>
    </row>
    <row r="15" spans="1:10" x14ac:dyDescent="0.25">
      <c r="A15" s="7">
        <v>111557</v>
      </c>
      <c r="B15" s="7" t="s">
        <v>713</v>
      </c>
      <c r="C15" s="5" t="s">
        <v>220</v>
      </c>
      <c r="D15" t="s">
        <v>264</v>
      </c>
      <c r="E15">
        <v>1</v>
      </c>
      <c r="F15">
        <v>20</v>
      </c>
      <c r="G15">
        <v>3</v>
      </c>
      <c r="H15" s="25">
        <v>380.71</v>
      </c>
      <c r="I15" s="8">
        <v>1665</v>
      </c>
      <c r="J15" s="19">
        <f t="shared" si="0"/>
        <v>0.77129999999999999</v>
      </c>
    </row>
    <row r="16" spans="1:10" x14ac:dyDescent="0.25">
      <c r="A16" s="7">
        <v>111560</v>
      </c>
      <c r="B16" s="7" t="s">
        <v>713</v>
      </c>
      <c r="C16" s="5" t="s">
        <v>221</v>
      </c>
      <c r="D16" t="s">
        <v>264</v>
      </c>
      <c r="E16">
        <v>1</v>
      </c>
      <c r="F16">
        <v>25</v>
      </c>
      <c r="G16">
        <v>3</v>
      </c>
      <c r="H16" s="25">
        <v>366.81</v>
      </c>
      <c r="I16" s="8">
        <v>1665</v>
      </c>
      <c r="J16" s="19">
        <f t="shared" si="0"/>
        <v>0.77969999999999995</v>
      </c>
    </row>
    <row r="17" spans="1:10" x14ac:dyDescent="0.25">
      <c r="A17" s="7">
        <v>111563</v>
      </c>
      <c r="B17" s="7" t="s">
        <v>713</v>
      </c>
      <c r="C17" s="5" t="s">
        <v>222</v>
      </c>
      <c r="D17" t="s">
        <v>264</v>
      </c>
      <c r="E17">
        <v>1</v>
      </c>
      <c r="F17">
        <v>32</v>
      </c>
      <c r="G17">
        <v>3</v>
      </c>
      <c r="H17" s="25">
        <v>371.17</v>
      </c>
      <c r="I17" s="8">
        <v>1665</v>
      </c>
      <c r="J17" s="19">
        <f t="shared" si="0"/>
        <v>0.77710000000000001</v>
      </c>
    </row>
    <row r="18" spans="1:10" x14ac:dyDescent="0.25">
      <c r="A18" s="7">
        <v>111566</v>
      </c>
      <c r="B18" s="7" t="s">
        <v>713</v>
      </c>
      <c r="C18" s="5" t="s">
        <v>223</v>
      </c>
      <c r="D18" t="s">
        <v>264</v>
      </c>
      <c r="E18">
        <v>1</v>
      </c>
      <c r="F18">
        <v>40</v>
      </c>
      <c r="G18">
        <v>3</v>
      </c>
      <c r="H18" s="25">
        <v>374.08</v>
      </c>
      <c r="I18" s="8">
        <v>1665</v>
      </c>
      <c r="J18" s="19">
        <f t="shared" si="0"/>
        <v>0.77529999999999999</v>
      </c>
    </row>
    <row r="19" spans="1:10" x14ac:dyDescent="0.25">
      <c r="A19" s="7">
        <v>111569</v>
      </c>
      <c r="B19" s="7" t="s">
        <v>713</v>
      </c>
      <c r="C19" s="5" t="s">
        <v>224</v>
      </c>
      <c r="D19" t="s">
        <v>264</v>
      </c>
      <c r="E19">
        <v>1</v>
      </c>
      <c r="F19">
        <v>50</v>
      </c>
      <c r="G19">
        <v>3</v>
      </c>
      <c r="H19" s="25">
        <v>361.83</v>
      </c>
      <c r="I19" s="8">
        <v>1665</v>
      </c>
      <c r="J19" s="19">
        <f t="shared" si="0"/>
        <v>0.78269999999999995</v>
      </c>
    </row>
    <row r="20" spans="1:10" x14ac:dyDescent="0.25">
      <c r="A20" s="7">
        <v>111572</v>
      </c>
      <c r="B20" s="7" t="s">
        <v>713</v>
      </c>
      <c r="C20" s="5" t="s">
        <v>225</v>
      </c>
      <c r="D20" t="s">
        <v>264</v>
      </c>
      <c r="E20">
        <v>1</v>
      </c>
      <c r="F20">
        <v>63</v>
      </c>
      <c r="G20">
        <v>3</v>
      </c>
      <c r="H20" s="25">
        <v>359.76</v>
      </c>
      <c r="I20" s="8">
        <v>1876</v>
      </c>
      <c r="J20" s="19">
        <f t="shared" si="0"/>
        <v>0.80820000000000003</v>
      </c>
    </row>
    <row r="21" spans="1:10" x14ac:dyDescent="0.25">
      <c r="A21" s="7">
        <v>111575</v>
      </c>
      <c r="B21" s="7" t="s">
        <v>713</v>
      </c>
      <c r="C21" s="5" t="s">
        <v>226</v>
      </c>
      <c r="D21" t="s">
        <v>264</v>
      </c>
      <c r="E21">
        <v>1</v>
      </c>
      <c r="F21">
        <v>80</v>
      </c>
      <c r="G21">
        <v>3</v>
      </c>
      <c r="H21" s="25">
        <v>371.38</v>
      </c>
      <c r="I21" s="8">
        <v>1876</v>
      </c>
      <c r="J21" s="19">
        <f t="shared" si="0"/>
        <v>0.80200000000000005</v>
      </c>
    </row>
    <row r="22" spans="1:10" x14ac:dyDescent="0.25">
      <c r="A22" s="7">
        <v>111578</v>
      </c>
      <c r="B22" s="7" t="s">
        <v>713</v>
      </c>
      <c r="C22" s="5" t="s">
        <v>227</v>
      </c>
      <c r="D22" t="s">
        <v>264</v>
      </c>
      <c r="E22">
        <v>1</v>
      </c>
      <c r="F22">
        <v>100</v>
      </c>
      <c r="G22">
        <v>3</v>
      </c>
      <c r="H22" s="25">
        <v>375.32</v>
      </c>
      <c r="I22" s="8">
        <v>1876</v>
      </c>
      <c r="J22" s="19">
        <f t="shared" si="0"/>
        <v>0.79990000000000006</v>
      </c>
    </row>
    <row r="23" spans="1:10" x14ac:dyDescent="0.25">
      <c r="A23" s="7">
        <v>111555</v>
      </c>
      <c r="B23" s="7" t="s">
        <v>713</v>
      </c>
      <c r="C23" s="5" t="s">
        <v>228</v>
      </c>
      <c r="D23" t="s">
        <v>265</v>
      </c>
      <c r="E23">
        <v>1</v>
      </c>
      <c r="F23">
        <v>16</v>
      </c>
      <c r="G23">
        <v>3</v>
      </c>
      <c r="H23" s="25">
        <v>384.24</v>
      </c>
      <c r="I23" s="8">
        <v>1932</v>
      </c>
      <c r="J23" s="19">
        <f t="shared" si="0"/>
        <v>0.80110000000000003</v>
      </c>
    </row>
    <row r="24" spans="1:10" x14ac:dyDescent="0.25">
      <c r="A24" s="7">
        <v>111558</v>
      </c>
      <c r="B24" s="7" t="s">
        <v>713</v>
      </c>
      <c r="C24" s="5" t="s">
        <v>229</v>
      </c>
      <c r="D24" t="s">
        <v>265</v>
      </c>
      <c r="E24">
        <v>1</v>
      </c>
      <c r="F24">
        <v>20</v>
      </c>
      <c r="G24">
        <v>3</v>
      </c>
      <c r="H24" s="25">
        <v>582.79</v>
      </c>
      <c r="I24" s="8">
        <v>1932</v>
      </c>
      <c r="J24" s="19">
        <f t="shared" si="0"/>
        <v>0.69830000000000003</v>
      </c>
    </row>
    <row r="25" spans="1:10" x14ac:dyDescent="0.25">
      <c r="A25" s="7">
        <v>111561</v>
      </c>
      <c r="B25" s="7" t="s">
        <v>713</v>
      </c>
      <c r="C25" s="5" t="s">
        <v>230</v>
      </c>
      <c r="D25" t="s">
        <v>265</v>
      </c>
      <c r="E25">
        <v>1</v>
      </c>
      <c r="F25">
        <v>25</v>
      </c>
      <c r="G25">
        <v>3</v>
      </c>
      <c r="H25" s="25">
        <v>366.81</v>
      </c>
      <c r="I25" s="8">
        <v>1932</v>
      </c>
      <c r="J25" s="19">
        <f t="shared" si="0"/>
        <v>0.81010000000000004</v>
      </c>
    </row>
    <row r="26" spans="1:10" x14ac:dyDescent="0.25">
      <c r="A26" s="7">
        <v>111564</v>
      </c>
      <c r="B26" s="7" t="s">
        <v>713</v>
      </c>
      <c r="C26" s="5" t="s">
        <v>231</v>
      </c>
      <c r="D26" t="s">
        <v>265</v>
      </c>
      <c r="E26">
        <v>1</v>
      </c>
      <c r="F26">
        <v>32</v>
      </c>
      <c r="G26">
        <v>3</v>
      </c>
      <c r="H26" s="25">
        <v>371.17</v>
      </c>
      <c r="I26" s="8">
        <v>1932</v>
      </c>
      <c r="J26" s="19">
        <f t="shared" si="0"/>
        <v>0.80789999999999995</v>
      </c>
    </row>
    <row r="27" spans="1:10" x14ac:dyDescent="0.25">
      <c r="A27" s="7">
        <v>111567</v>
      </c>
      <c r="B27" s="7" t="s">
        <v>713</v>
      </c>
      <c r="C27" s="5" t="s">
        <v>232</v>
      </c>
      <c r="D27" t="s">
        <v>265</v>
      </c>
      <c r="E27">
        <v>1</v>
      </c>
      <c r="F27">
        <v>40</v>
      </c>
      <c r="G27">
        <v>3</v>
      </c>
      <c r="H27" s="25">
        <v>374.08</v>
      </c>
      <c r="I27" s="8">
        <v>1932</v>
      </c>
      <c r="J27" s="19">
        <f t="shared" si="0"/>
        <v>0.80640000000000001</v>
      </c>
    </row>
    <row r="28" spans="1:10" x14ac:dyDescent="0.25">
      <c r="A28" s="7">
        <v>111570</v>
      </c>
      <c r="B28" s="7" t="s">
        <v>713</v>
      </c>
      <c r="C28" s="5" t="s">
        <v>233</v>
      </c>
      <c r="D28" t="s">
        <v>265</v>
      </c>
      <c r="E28">
        <v>1</v>
      </c>
      <c r="F28">
        <v>50</v>
      </c>
      <c r="G28">
        <v>3</v>
      </c>
      <c r="H28" s="25">
        <v>361.83</v>
      </c>
      <c r="I28" s="8">
        <v>1932</v>
      </c>
      <c r="J28" s="19">
        <f t="shared" si="0"/>
        <v>0.81269999999999998</v>
      </c>
    </row>
    <row r="29" spans="1:10" x14ac:dyDescent="0.25">
      <c r="A29" s="7">
        <v>111573</v>
      </c>
      <c r="B29" s="7" t="s">
        <v>713</v>
      </c>
      <c r="C29" s="5" t="s">
        <v>234</v>
      </c>
      <c r="D29" t="s">
        <v>265</v>
      </c>
      <c r="E29">
        <v>1</v>
      </c>
      <c r="F29">
        <v>63</v>
      </c>
      <c r="G29">
        <v>3</v>
      </c>
      <c r="H29" s="25">
        <v>359.76</v>
      </c>
      <c r="I29" s="8">
        <v>2177</v>
      </c>
      <c r="J29" s="19">
        <f t="shared" si="0"/>
        <v>0.8347</v>
      </c>
    </row>
    <row r="30" spans="1:10" x14ac:dyDescent="0.25">
      <c r="A30" s="7">
        <v>111576</v>
      </c>
      <c r="B30" s="7" t="s">
        <v>713</v>
      </c>
      <c r="C30" s="5" t="s">
        <v>235</v>
      </c>
      <c r="D30" t="s">
        <v>265</v>
      </c>
      <c r="E30">
        <v>1</v>
      </c>
      <c r="F30">
        <v>80</v>
      </c>
      <c r="G30">
        <v>3</v>
      </c>
      <c r="H30" s="25">
        <v>371.38</v>
      </c>
      <c r="I30" s="8">
        <v>2177</v>
      </c>
      <c r="J30" s="19">
        <f t="shared" si="0"/>
        <v>0.82940000000000003</v>
      </c>
    </row>
    <row r="31" spans="1:10" x14ac:dyDescent="0.25">
      <c r="A31" s="7">
        <v>111579</v>
      </c>
      <c r="B31" s="7" t="s">
        <v>713</v>
      </c>
      <c r="C31" s="5" t="s">
        <v>236</v>
      </c>
      <c r="D31" t="s">
        <v>265</v>
      </c>
      <c r="E31">
        <v>1</v>
      </c>
      <c r="F31">
        <v>100</v>
      </c>
      <c r="G31">
        <v>3</v>
      </c>
      <c r="H31" s="25">
        <v>539.42999999999995</v>
      </c>
      <c r="I31" s="8">
        <v>2177</v>
      </c>
      <c r="J31" s="19">
        <f t="shared" si="0"/>
        <v>0.75219999999999998</v>
      </c>
    </row>
    <row r="32" spans="1:10" x14ac:dyDescent="0.25">
      <c r="A32" s="7">
        <v>131276</v>
      </c>
      <c r="B32" s="7" t="s">
        <v>713</v>
      </c>
      <c r="C32" s="5" t="s">
        <v>237</v>
      </c>
      <c r="D32" t="s">
        <v>266</v>
      </c>
      <c r="E32">
        <v>1</v>
      </c>
      <c r="F32">
        <v>32</v>
      </c>
      <c r="G32">
        <v>3</v>
      </c>
      <c r="H32" s="25">
        <v>609.14</v>
      </c>
      <c r="I32" s="8">
        <v>2211</v>
      </c>
      <c r="J32" s="19">
        <f t="shared" si="0"/>
        <v>0.72450000000000003</v>
      </c>
    </row>
    <row r="33" spans="1:10" x14ac:dyDescent="0.25">
      <c r="A33" s="7">
        <v>131277</v>
      </c>
      <c r="B33" s="7" t="s">
        <v>713</v>
      </c>
      <c r="C33" s="5" t="s">
        <v>238</v>
      </c>
      <c r="D33" t="s">
        <v>266</v>
      </c>
      <c r="E33">
        <v>1</v>
      </c>
      <c r="F33">
        <v>40</v>
      </c>
      <c r="G33">
        <v>3</v>
      </c>
      <c r="H33" s="25">
        <v>570.97</v>
      </c>
      <c r="I33" s="8">
        <v>2211</v>
      </c>
      <c r="J33" s="19">
        <f t="shared" si="0"/>
        <v>0.74180000000000001</v>
      </c>
    </row>
    <row r="34" spans="1:10" x14ac:dyDescent="0.25">
      <c r="A34" s="7">
        <v>131278</v>
      </c>
      <c r="B34" s="7" t="s">
        <v>713</v>
      </c>
      <c r="C34" s="5" t="s">
        <v>239</v>
      </c>
      <c r="D34" t="s">
        <v>266</v>
      </c>
      <c r="E34">
        <v>1</v>
      </c>
      <c r="F34">
        <v>50</v>
      </c>
      <c r="G34">
        <v>3</v>
      </c>
      <c r="H34" s="25">
        <v>580.92999999999995</v>
      </c>
      <c r="I34" s="8">
        <v>2211</v>
      </c>
      <c r="J34" s="19">
        <f t="shared" si="0"/>
        <v>0.73729999999999996</v>
      </c>
    </row>
    <row r="35" spans="1:10" x14ac:dyDescent="0.25">
      <c r="A35" s="7">
        <v>131279</v>
      </c>
      <c r="B35" s="7" t="s">
        <v>713</v>
      </c>
      <c r="C35" s="5" t="s">
        <v>240</v>
      </c>
      <c r="D35" t="s">
        <v>266</v>
      </c>
      <c r="E35">
        <v>1</v>
      </c>
      <c r="F35">
        <v>63</v>
      </c>
      <c r="G35">
        <v>3</v>
      </c>
      <c r="H35" s="25">
        <v>387.35</v>
      </c>
      <c r="I35" s="8">
        <v>2511</v>
      </c>
      <c r="J35" s="19">
        <f t="shared" si="0"/>
        <v>0.84570000000000001</v>
      </c>
    </row>
    <row r="36" spans="1:10" x14ac:dyDescent="0.25">
      <c r="A36" s="7">
        <v>131280</v>
      </c>
      <c r="B36" s="7" t="s">
        <v>713</v>
      </c>
      <c r="C36" s="5" t="s">
        <v>241</v>
      </c>
      <c r="D36" t="s">
        <v>266</v>
      </c>
      <c r="E36">
        <v>1</v>
      </c>
      <c r="F36">
        <v>80</v>
      </c>
      <c r="G36">
        <v>3</v>
      </c>
      <c r="H36" s="25">
        <v>712.88</v>
      </c>
      <c r="I36" s="8">
        <v>2511</v>
      </c>
      <c r="J36" s="19">
        <f t="shared" si="0"/>
        <v>0.71609999999999996</v>
      </c>
    </row>
    <row r="37" spans="1:10" x14ac:dyDescent="0.25">
      <c r="A37" s="7">
        <v>131281</v>
      </c>
      <c r="B37" s="7" t="s">
        <v>713</v>
      </c>
      <c r="C37" s="5" t="s">
        <v>242</v>
      </c>
      <c r="D37" t="s">
        <v>266</v>
      </c>
      <c r="E37">
        <v>1</v>
      </c>
      <c r="F37">
        <v>100</v>
      </c>
      <c r="G37">
        <v>3</v>
      </c>
      <c r="H37" s="25">
        <v>1243.5999999999999</v>
      </c>
      <c r="I37" s="8">
        <v>2511</v>
      </c>
      <c r="J37" s="19">
        <f t="shared" si="0"/>
        <v>0.50470000000000004</v>
      </c>
    </row>
    <row r="38" spans="1:10" x14ac:dyDescent="0.25">
      <c r="A38" s="7">
        <v>119735</v>
      </c>
      <c r="B38" s="7" t="s">
        <v>714</v>
      </c>
      <c r="C38" s="5" t="s">
        <v>243</v>
      </c>
      <c r="D38" t="s">
        <v>265</v>
      </c>
      <c r="E38">
        <v>2</v>
      </c>
      <c r="F38">
        <v>125</v>
      </c>
      <c r="G38">
        <v>3</v>
      </c>
      <c r="H38" s="25">
        <v>1360.45</v>
      </c>
      <c r="I38" s="8">
        <v>4316</v>
      </c>
      <c r="J38" s="19">
        <f t="shared" si="0"/>
        <v>0.68479999999999996</v>
      </c>
    </row>
    <row r="39" spans="1:10" x14ac:dyDescent="0.25">
      <c r="A39" s="7">
        <v>116973</v>
      </c>
      <c r="B39" s="7" t="s">
        <v>714</v>
      </c>
      <c r="C39" s="5" t="s">
        <v>244</v>
      </c>
      <c r="D39" t="s">
        <v>265</v>
      </c>
      <c r="E39">
        <v>2</v>
      </c>
      <c r="F39">
        <v>160</v>
      </c>
      <c r="G39">
        <v>3</v>
      </c>
      <c r="H39" s="25">
        <v>1545.18</v>
      </c>
      <c r="I39" s="8">
        <v>4316</v>
      </c>
      <c r="J39" s="19">
        <f t="shared" si="0"/>
        <v>0.64200000000000002</v>
      </c>
    </row>
    <row r="40" spans="1:10" x14ac:dyDescent="0.25">
      <c r="A40" s="7">
        <v>116974</v>
      </c>
      <c r="B40" s="7" t="s">
        <v>714</v>
      </c>
      <c r="C40" s="5" t="s">
        <v>245</v>
      </c>
      <c r="D40" t="s">
        <v>265</v>
      </c>
      <c r="E40">
        <v>2</v>
      </c>
      <c r="F40">
        <v>200</v>
      </c>
      <c r="G40">
        <v>3</v>
      </c>
      <c r="H40" s="25">
        <v>1614.84</v>
      </c>
      <c r="I40" s="8">
        <v>4316</v>
      </c>
      <c r="J40" s="19">
        <f t="shared" si="0"/>
        <v>0.62580000000000002</v>
      </c>
    </row>
    <row r="41" spans="1:10" x14ac:dyDescent="0.25">
      <c r="A41" s="7">
        <v>116975</v>
      </c>
      <c r="B41" s="7" t="s">
        <v>714</v>
      </c>
      <c r="C41" s="5" t="s">
        <v>246</v>
      </c>
      <c r="D41" t="s">
        <v>265</v>
      </c>
      <c r="E41">
        <v>2</v>
      </c>
      <c r="F41">
        <v>250</v>
      </c>
      <c r="G41">
        <v>3</v>
      </c>
      <c r="H41" s="25">
        <v>1268.8599999999999</v>
      </c>
      <c r="I41" s="8">
        <v>4316</v>
      </c>
      <c r="J41" s="19">
        <f t="shared" si="0"/>
        <v>0.70599999999999996</v>
      </c>
    </row>
    <row r="42" spans="1:10" x14ac:dyDescent="0.25">
      <c r="A42" s="7">
        <v>121804</v>
      </c>
      <c r="B42" s="7" t="s">
        <v>714</v>
      </c>
      <c r="C42" s="5" t="s">
        <v>247</v>
      </c>
      <c r="D42" t="s">
        <v>266</v>
      </c>
      <c r="E42">
        <v>2</v>
      </c>
      <c r="F42">
        <v>125</v>
      </c>
      <c r="G42">
        <v>3</v>
      </c>
      <c r="H42" s="25">
        <v>1834.28</v>
      </c>
      <c r="I42" s="8">
        <v>4611</v>
      </c>
      <c r="J42" s="19">
        <f t="shared" si="0"/>
        <v>0.60219999999999996</v>
      </c>
    </row>
    <row r="43" spans="1:10" x14ac:dyDescent="0.25">
      <c r="A43" s="7">
        <v>121805</v>
      </c>
      <c r="B43" s="7" t="s">
        <v>714</v>
      </c>
      <c r="C43" s="5" t="s">
        <v>248</v>
      </c>
      <c r="D43" t="s">
        <v>266</v>
      </c>
      <c r="E43">
        <v>2</v>
      </c>
      <c r="F43">
        <v>160</v>
      </c>
      <c r="G43">
        <v>3</v>
      </c>
      <c r="H43" s="25">
        <v>1400.45</v>
      </c>
      <c r="I43" s="8">
        <v>4611</v>
      </c>
      <c r="J43" s="19">
        <f t="shared" si="0"/>
        <v>0.69630000000000003</v>
      </c>
    </row>
    <row r="44" spans="1:10" x14ac:dyDescent="0.25">
      <c r="A44" s="7">
        <v>121806</v>
      </c>
      <c r="B44" s="7" t="s">
        <v>714</v>
      </c>
      <c r="C44" s="5" t="s">
        <v>249</v>
      </c>
      <c r="D44" t="s">
        <v>266</v>
      </c>
      <c r="E44">
        <v>2</v>
      </c>
      <c r="F44">
        <v>200</v>
      </c>
      <c r="G44">
        <v>3</v>
      </c>
      <c r="H44" s="25">
        <v>1400.45</v>
      </c>
      <c r="I44" s="8">
        <v>4611</v>
      </c>
      <c r="J44" s="19">
        <f t="shared" si="0"/>
        <v>0.69630000000000003</v>
      </c>
    </row>
    <row r="45" spans="1:10" x14ac:dyDescent="0.25">
      <c r="A45" s="7">
        <v>121807</v>
      </c>
      <c r="B45" s="7" t="s">
        <v>714</v>
      </c>
      <c r="C45" s="5" t="s">
        <v>250</v>
      </c>
      <c r="D45" t="s">
        <v>266</v>
      </c>
      <c r="E45">
        <v>2</v>
      </c>
      <c r="F45">
        <v>250</v>
      </c>
      <c r="G45">
        <v>3</v>
      </c>
      <c r="H45" s="25">
        <v>1400.45</v>
      </c>
      <c r="I45" s="8">
        <v>4611</v>
      </c>
      <c r="J45" s="19">
        <f t="shared" si="0"/>
        <v>0.69630000000000003</v>
      </c>
    </row>
  </sheetData>
  <autoFilter ref="A1:I45" xr:uid="{55AD93CD-4665-42DC-AC4B-4CF05C73D8EA}"/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118DC-A31E-40E5-8016-5940C6148308}">
  <dimension ref="A1:K79"/>
  <sheetViews>
    <sheetView topLeftCell="B1" zoomScale="113" workbookViewId="0">
      <selection activeCell="M5" sqref="M5"/>
    </sheetView>
  </sheetViews>
  <sheetFormatPr defaultRowHeight="15" x14ac:dyDescent="0.25"/>
  <cols>
    <col min="1" max="2" width="18.5703125" customWidth="1"/>
    <col min="3" max="3" width="41.85546875" bestFit="1" customWidth="1"/>
    <col min="4" max="4" width="13.85546875" bestFit="1" customWidth="1"/>
    <col min="5" max="5" width="20.140625" customWidth="1"/>
    <col min="7" max="7" width="12.140625" bestFit="1" customWidth="1"/>
    <col min="8" max="8" width="18.140625" customWidth="1"/>
    <col min="9" max="9" width="11.42578125" bestFit="1" customWidth="1"/>
    <col min="10" max="10" width="10.5703125" bestFit="1" customWidth="1"/>
    <col min="11" max="11" width="8.85546875" style="19"/>
  </cols>
  <sheetData>
    <row r="1" spans="1:11" s="6" customFormat="1" x14ac:dyDescent="0.25">
      <c r="A1" s="6" t="s">
        <v>0</v>
      </c>
      <c r="B1" s="6" t="s">
        <v>707</v>
      </c>
      <c r="C1" s="6" t="s">
        <v>1</v>
      </c>
      <c r="D1" s="6" t="s">
        <v>2</v>
      </c>
      <c r="E1" s="6" t="s">
        <v>353</v>
      </c>
      <c r="F1" s="6" t="s">
        <v>263</v>
      </c>
      <c r="G1" s="6" t="s">
        <v>688</v>
      </c>
      <c r="H1" s="6" t="s">
        <v>205</v>
      </c>
      <c r="I1" s="6" t="s">
        <v>270</v>
      </c>
      <c r="J1" s="6" t="s">
        <v>747</v>
      </c>
      <c r="K1" s="24" t="s">
        <v>749</v>
      </c>
    </row>
    <row r="2" spans="1:11" x14ac:dyDescent="0.25">
      <c r="A2" t="s">
        <v>271</v>
      </c>
      <c r="B2" t="s">
        <v>708</v>
      </c>
      <c r="C2" t="s">
        <v>284</v>
      </c>
      <c r="D2" s="9">
        <v>6114</v>
      </c>
      <c r="E2" s="9" t="s">
        <v>354</v>
      </c>
      <c r="F2" t="s">
        <v>215</v>
      </c>
      <c r="G2">
        <v>3</v>
      </c>
      <c r="H2">
        <v>15</v>
      </c>
      <c r="I2">
        <v>3</v>
      </c>
      <c r="J2" s="25">
        <v>1324.1</v>
      </c>
      <c r="K2" s="19">
        <f>ROUND(((D2-J2)/D2),4)</f>
        <v>0.78339999999999999</v>
      </c>
    </row>
    <row r="3" spans="1:11" x14ac:dyDescent="0.25">
      <c r="A3" t="s">
        <v>272</v>
      </c>
      <c r="B3" t="s">
        <v>708</v>
      </c>
      <c r="C3" t="s">
        <v>285</v>
      </c>
      <c r="D3" s="9">
        <v>6114</v>
      </c>
      <c r="E3" s="9" t="s">
        <v>354</v>
      </c>
      <c r="F3" t="s">
        <v>215</v>
      </c>
      <c r="G3">
        <v>3</v>
      </c>
      <c r="H3">
        <v>20</v>
      </c>
      <c r="I3">
        <v>3</v>
      </c>
      <c r="J3" s="25">
        <v>1278.25</v>
      </c>
      <c r="K3" s="19">
        <f t="shared" ref="K3:K66" si="0">ROUND(((D3-J3)/D3),4)</f>
        <v>0.79090000000000005</v>
      </c>
    </row>
    <row r="4" spans="1:11" x14ac:dyDescent="0.25">
      <c r="A4" t="s">
        <v>273</v>
      </c>
      <c r="B4" t="s">
        <v>708</v>
      </c>
      <c r="C4" t="s">
        <v>286</v>
      </c>
      <c r="D4" s="9">
        <v>6114</v>
      </c>
      <c r="E4" s="9" t="s">
        <v>354</v>
      </c>
      <c r="F4" t="s">
        <v>215</v>
      </c>
      <c r="G4">
        <v>3</v>
      </c>
      <c r="H4">
        <v>30</v>
      </c>
      <c r="I4">
        <v>3</v>
      </c>
      <c r="J4" s="25">
        <v>1288.21</v>
      </c>
      <c r="K4" s="19">
        <f t="shared" si="0"/>
        <v>0.7893</v>
      </c>
    </row>
    <row r="5" spans="1:11" x14ac:dyDescent="0.25">
      <c r="A5" t="s">
        <v>274</v>
      </c>
      <c r="B5" t="s">
        <v>708</v>
      </c>
      <c r="C5" t="s">
        <v>287</v>
      </c>
      <c r="D5" s="9">
        <v>6114</v>
      </c>
      <c r="E5" s="9" t="s">
        <v>354</v>
      </c>
      <c r="F5" t="s">
        <v>215</v>
      </c>
      <c r="G5">
        <v>3</v>
      </c>
      <c r="H5">
        <v>40</v>
      </c>
      <c r="I5">
        <v>3</v>
      </c>
      <c r="J5" s="25">
        <v>1286.55</v>
      </c>
      <c r="K5" s="19">
        <f t="shared" si="0"/>
        <v>0.78959999999999997</v>
      </c>
    </row>
    <row r="6" spans="1:11" x14ac:dyDescent="0.25">
      <c r="A6" t="s">
        <v>275</v>
      </c>
      <c r="B6" t="s">
        <v>708</v>
      </c>
      <c r="C6" t="s">
        <v>288</v>
      </c>
      <c r="D6" s="9">
        <v>6114</v>
      </c>
      <c r="E6" s="9" t="s">
        <v>354</v>
      </c>
      <c r="F6" t="s">
        <v>215</v>
      </c>
      <c r="G6">
        <v>3</v>
      </c>
      <c r="H6">
        <v>50</v>
      </c>
      <c r="I6">
        <v>3</v>
      </c>
      <c r="J6" s="25">
        <v>1285.0899999999999</v>
      </c>
      <c r="K6" s="19">
        <f t="shared" si="0"/>
        <v>0.78979999999999995</v>
      </c>
    </row>
    <row r="7" spans="1:11" x14ac:dyDescent="0.25">
      <c r="A7" t="s">
        <v>276</v>
      </c>
      <c r="B7" t="s">
        <v>708</v>
      </c>
      <c r="C7" t="s">
        <v>289</v>
      </c>
      <c r="D7" s="9">
        <v>6114</v>
      </c>
      <c r="E7" s="9" t="s">
        <v>354</v>
      </c>
      <c r="F7" t="s">
        <v>215</v>
      </c>
      <c r="G7">
        <v>3</v>
      </c>
      <c r="H7">
        <v>60</v>
      </c>
      <c r="I7">
        <v>3</v>
      </c>
      <c r="J7" s="25">
        <v>1401.49</v>
      </c>
      <c r="K7" s="19">
        <f t="shared" si="0"/>
        <v>0.77080000000000004</v>
      </c>
    </row>
    <row r="8" spans="1:11" x14ac:dyDescent="0.25">
      <c r="A8" t="s">
        <v>277</v>
      </c>
      <c r="B8" t="s">
        <v>708</v>
      </c>
      <c r="C8" t="s">
        <v>290</v>
      </c>
      <c r="D8" s="9">
        <v>6466</v>
      </c>
      <c r="E8" s="9" t="s">
        <v>354</v>
      </c>
      <c r="F8" t="s">
        <v>215</v>
      </c>
      <c r="G8">
        <v>3</v>
      </c>
      <c r="H8">
        <v>70</v>
      </c>
      <c r="I8">
        <v>3</v>
      </c>
      <c r="J8" s="25">
        <v>1409.37</v>
      </c>
      <c r="K8" s="19">
        <f t="shared" si="0"/>
        <v>0.78200000000000003</v>
      </c>
    </row>
    <row r="9" spans="1:11" x14ac:dyDescent="0.25">
      <c r="A9" t="s">
        <v>278</v>
      </c>
      <c r="B9" t="s">
        <v>708</v>
      </c>
      <c r="C9" t="s">
        <v>291</v>
      </c>
      <c r="D9" s="9">
        <v>6466</v>
      </c>
      <c r="E9" s="9" t="s">
        <v>354</v>
      </c>
      <c r="F9" t="s">
        <v>215</v>
      </c>
      <c r="G9">
        <v>3</v>
      </c>
      <c r="H9">
        <v>80</v>
      </c>
      <c r="I9">
        <v>3</v>
      </c>
      <c r="J9" s="25">
        <v>1399.62</v>
      </c>
      <c r="K9" s="19">
        <f t="shared" si="0"/>
        <v>0.78349999999999997</v>
      </c>
    </row>
    <row r="10" spans="1:11" x14ac:dyDescent="0.25">
      <c r="A10" t="s">
        <v>279</v>
      </c>
      <c r="B10" t="s">
        <v>708</v>
      </c>
      <c r="C10" t="s">
        <v>292</v>
      </c>
      <c r="D10" s="9">
        <v>8469</v>
      </c>
      <c r="E10" s="9" t="s">
        <v>354</v>
      </c>
      <c r="F10" t="s">
        <v>215</v>
      </c>
      <c r="G10">
        <v>3</v>
      </c>
      <c r="H10">
        <v>125</v>
      </c>
      <c r="I10">
        <v>3</v>
      </c>
      <c r="J10" s="25">
        <v>1401.28</v>
      </c>
      <c r="K10" s="19">
        <f t="shared" si="0"/>
        <v>0.83450000000000002</v>
      </c>
    </row>
    <row r="11" spans="1:11" x14ac:dyDescent="0.25">
      <c r="A11" t="s">
        <v>280</v>
      </c>
      <c r="B11" t="s">
        <v>708</v>
      </c>
      <c r="C11" t="s">
        <v>293</v>
      </c>
      <c r="D11" s="9">
        <v>8469</v>
      </c>
      <c r="E11" s="9" t="s">
        <v>354</v>
      </c>
      <c r="F11" t="s">
        <v>215</v>
      </c>
      <c r="G11">
        <v>3</v>
      </c>
      <c r="H11">
        <v>150</v>
      </c>
      <c r="I11">
        <v>3</v>
      </c>
      <c r="J11" s="25">
        <v>1568.92</v>
      </c>
      <c r="K11" s="19">
        <f t="shared" si="0"/>
        <v>0.81469999999999998</v>
      </c>
    </row>
    <row r="12" spans="1:11" x14ac:dyDescent="0.25">
      <c r="A12" t="s">
        <v>281</v>
      </c>
      <c r="B12" t="s">
        <v>708</v>
      </c>
      <c r="C12" t="s">
        <v>294</v>
      </c>
      <c r="D12" s="9">
        <v>9616</v>
      </c>
      <c r="E12" s="9" t="s">
        <v>354</v>
      </c>
      <c r="F12" t="s">
        <v>215</v>
      </c>
      <c r="G12">
        <v>3</v>
      </c>
      <c r="H12">
        <v>175</v>
      </c>
      <c r="I12">
        <v>3</v>
      </c>
      <c r="J12" s="25">
        <v>1606.89</v>
      </c>
      <c r="K12" s="19">
        <f t="shared" si="0"/>
        <v>0.83289999999999997</v>
      </c>
    </row>
    <row r="13" spans="1:11" x14ac:dyDescent="0.25">
      <c r="A13" t="s">
        <v>282</v>
      </c>
      <c r="B13" t="s">
        <v>708</v>
      </c>
      <c r="C13" t="s">
        <v>295</v>
      </c>
      <c r="D13" s="9">
        <v>9616</v>
      </c>
      <c r="E13" s="9" t="s">
        <v>354</v>
      </c>
      <c r="F13" t="s">
        <v>215</v>
      </c>
      <c r="G13">
        <v>3</v>
      </c>
      <c r="H13">
        <v>200</v>
      </c>
      <c r="I13">
        <v>3</v>
      </c>
      <c r="J13" s="25">
        <v>1629.71</v>
      </c>
      <c r="K13" s="19">
        <f t="shared" si="0"/>
        <v>0.83050000000000002</v>
      </c>
    </row>
    <row r="14" spans="1:11" x14ac:dyDescent="0.25">
      <c r="A14" t="s">
        <v>283</v>
      </c>
      <c r="B14" t="s">
        <v>708</v>
      </c>
      <c r="C14" t="s">
        <v>296</v>
      </c>
      <c r="D14" s="9">
        <v>9616</v>
      </c>
      <c r="E14" s="9" t="s">
        <v>354</v>
      </c>
      <c r="F14" t="s">
        <v>215</v>
      </c>
      <c r="G14">
        <v>3</v>
      </c>
      <c r="H14">
        <v>225</v>
      </c>
      <c r="I14">
        <v>3</v>
      </c>
      <c r="J14" s="25">
        <v>1627.84</v>
      </c>
      <c r="K14" s="19">
        <f t="shared" si="0"/>
        <v>0.83069999999999999</v>
      </c>
    </row>
    <row r="15" spans="1:11" x14ac:dyDescent="0.25">
      <c r="A15" t="s">
        <v>299</v>
      </c>
      <c r="B15" t="s">
        <v>708</v>
      </c>
      <c r="C15" t="s">
        <v>304</v>
      </c>
      <c r="D15" s="9">
        <v>7078</v>
      </c>
      <c r="E15" s="9" t="s">
        <v>354</v>
      </c>
      <c r="F15" t="s">
        <v>297</v>
      </c>
      <c r="G15">
        <v>2</v>
      </c>
      <c r="H15">
        <v>15</v>
      </c>
      <c r="I15">
        <v>3</v>
      </c>
      <c r="J15" s="25">
        <v>1324.1</v>
      </c>
      <c r="K15" s="19">
        <f t="shared" si="0"/>
        <v>0.81289999999999996</v>
      </c>
    </row>
    <row r="16" spans="1:11" x14ac:dyDescent="0.25">
      <c r="A16" t="s">
        <v>300</v>
      </c>
      <c r="B16" t="s">
        <v>708</v>
      </c>
      <c r="C16" t="s">
        <v>305</v>
      </c>
      <c r="D16" s="9">
        <v>7078</v>
      </c>
      <c r="E16" s="9" t="s">
        <v>354</v>
      </c>
      <c r="F16" t="s">
        <v>297</v>
      </c>
      <c r="G16">
        <v>2</v>
      </c>
      <c r="H16">
        <v>20</v>
      </c>
      <c r="I16">
        <v>3</v>
      </c>
      <c r="J16" s="25">
        <v>1278.25</v>
      </c>
      <c r="K16" s="19">
        <f t="shared" si="0"/>
        <v>0.81940000000000002</v>
      </c>
    </row>
    <row r="17" spans="1:11" x14ac:dyDescent="0.25">
      <c r="A17" t="s">
        <v>301</v>
      </c>
      <c r="B17" t="s">
        <v>708</v>
      </c>
      <c r="C17" t="s">
        <v>306</v>
      </c>
      <c r="D17" s="9">
        <v>7078</v>
      </c>
      <c r="E17" s="9" t="s">
        <v>354</v>
      </c>
      <c r="F17" t="s">
        <v>297</v>
      </c>
      <c r="G17">
        <v>2</v>
      </c>
      <c r="H17">
        <v>30</v>
      </c>
      <c r="I17">
        <v>3</v>
      </c>
      <c r="J17" s="25">
        <v>1288.21</v>
      </c>
      <c r="K17" s="19">
        <f t="shared" si="0"/>
        <v>0.81799999999999995</v>
      </c>
    </row>
    <row r="18" spans="1:11" x14ac:dyDescent="0.25">
      <c r="A18" t="s">
        <v>302</v>
      </c>
      <c r="B18" t="s">
        <v>708</v>
      </c>
      <c r="C18" t="s">
        <v>307</v>
      </c>
      <c r="D18" s="9">
        <v>7078</v>
      </c>
      <c r="E18" s="9" t="s">
        <v>354</v>
      </c>
      <c r="F18" t="s">
        <v>297</v>
      </c>
      <c r="G18">
        <v>2</v>
      </c>
      <c r="H18">
        <v>40</v>
      </c>
      <c r="I18">
        <v>3</v>
      </c>
      <c r="J18" s="25">
        <v>1286.55</v>
      </c>
      <c r="K18" s="19">
        <f t="shared" si="0"/>
        <v>0.81820000000000004</v>
      </c>
    </row>
    <row r="19" spans="1:11" x14ac:dyDescent="0.25">
      <c r="A19" t="s">
        <v>303</v>
      </c>
      <c r="B19" t="s">
        <v>708</v>
      </c>
      <c r="C19" t="s">
        <v>308</v>
      </c>
      <c r="D19" s="9">
        <v>7078</v>
      </c>
      <c r="E19" s="9" t="s">
        <v>354</v>
      </c>
      <c r="F19" t="s">
        <v>297</v>
      </c>
      <c r="G19">
        <v>2</v>
      </c>
      <c r="H19">
        <v>50</v>
      </c>
      <c r="I19">
        <v>3</v>
      </c>
      <c r="J19" s="25">
        <v>1285.0899999999999</v>
      </c>
      <c r="K19" s="19">
        <f t="shared" si="0"/>
        <v>0.81840000000000002</v>
      </c>
    </row>
    <row r="20" spans="1:11" x14ac:dyDescent="0.25">
      <c r="A20" t="s">
        <v>309</v>
      </c>
      <c r="B20" t="s">
        <v>708</v>
      </c>
      <c r="C20" t="s">
        <v>312</v>
      </c>
      <c r="D20" s="9">
        <v>7078</v>
      </c>
      <c r="E20" s="9" t="s">
        <v>354</v>
      </c>
      <c r="F20" t="s">
        <v>297</v>
      </c>
      <c r="G20">
        <v>2</v>
      </c>
      <c r="H20">
        <v>60</v>
      </c>
      <c r="I20">
        <v>3</v>
      </c>
      <c r="J20" s="25">
        <v>1401.49</v>
      </c>
      <c r="K20" s="19">
        <f t="shared" si="0"/>
        <v>0.80200000000000005</v>
      </c>
    </row>
    <row r="21" spans="1:11" x14ac:dyDescent="0.25">
      <c r="A21" t="s">
        <v>310</v>
      </c>
      <c r="B21" t="s">
        <v>708</v>
      </c>
      <c r="C21" t="s">
        <v>313</v>
      </c>
      <c r="D21" s="9">
        <v>7923</v>
      </c>
      <c r="E21" s="9" t="s">
        <v>354</v>
      </c>
      <c r="F21" t="s">
        <v>297</v>
      </c>
      <c r="G21">
        <v>2</v>
      </c>
      <c r="H21">
        <v>70</v>
      </c>
      <c r="I21">
        <v>3</v>
      </c>
      <c r="J21" s="25">
        <v>1409.37</v>
      </c>
      <c r="K21" s="19">
        <f t="shared" si="0"/>
        <v>0.82210000000000005</v>
      </c>
    </row>
    <row r="22" spans="1:11" x14ac:dyDescent="0.25">
      <c r="A22" t="s">
        <v>311</v>
      </c>
      <c r="B22" t="s">
        <v>708</v>
      </c>
      <c r="C22" t="s">
        <v>314</v>
      </c>
      <c r="D22" s="9">
        <v>7923</v>
      </c>
      <c r="E22" s="9" t="s">
        <v>354</v>
      </c>
      <c r="F22" t="s">
        <v>297</v>
      </c>
      <c r="G22">
        <v>2</v>
      </c>
      <c r="H22">
        <v>80</v>
      </c>
      <c r="I22">
        <v>3</v>
      </c>
      <c r="J22" s="25">
        <v>1399.62</v>
      </c>
      <c r="K22" s="19">
        <f t="shared" si="0"/>
        <v>0.82330000000000003</v>
      </c>
    </row>
    <row r="23" spans="1:11" x14ac:dyDescent="0.25">
      <c r="A23" t="s">
        <v>315</v>
      </c>
      <c r="B23" t="s">
        <v>708</v>
      </c>
      <c r="C23" t="s">
        <v>317</v>
      </c>
      <c r="D23" s="9">
        <v>7923</v>
      </c>
      <c r="E23" s="9" t="s">
        <v>354</v>
      </c>
      <c r="F23" t="s">
        <v>297</v>
      </c>
      <c r="G23">
        <v>2</v>
      </c>
      <c r="H23">
        <v>100</v>
      </c>
      <c r="I23">
        <v>3</v>
      </c>
      <c r="J23" s="25">
        <v>1401.28</v>
      </c>
      <c r="K23" s="19">
        <f t="shared" si="0"/>
        <v>0.82310000000000005</v>
      </c>
    </row>
    <row r="24" spans="1:11" x14ac:dyDescent="0.25">
      <c r="A24" t="s">
        <v>316</v>
      </c>
      <c r="B24" t="s">
        <v>708</v>
      </c>
      <c r="C24" t="s">
        <v>318</v>
      </c>
      <c r="D24" s="9">
        <v>11326</v>
      </c>
      <c r="E24" s="9" t="s">
        <v>354</v>
      </c>
      <c r="F24" t="s">
        <v>297</v>
      </c>
      <c r="G24">
        <v>2</v>
      </c>
      <c r="H24">
        <v>125</v>
      </c>
      <c r="I24">
        <v>3</v>
      </c>
      <c r="J24" s="25">
        <v>1568.92</v>
      </c>
      <c r="K24" s="19">
        <f t="shared" si="0"/>
        <v>0.86150000000000004</v>
      </c>
    </row>
    <row r="25" spans="1:11" x14ac:dyDescent="0.25">
      <c r="A25" t="s">
        <v>319</v>
      </c>
      <c r="B25" t="s">
        <v>708</v>
      </c>
      <c r="C25" t="s">
        <v>322</v>
      </c>
      <c r="D25" s="9">
        <v>11326</v>
      </c>
      <c r="E25" s="9" t="s">
        <v>354</v>
      </c>
      <c r="F25" t="s">
        <v>297</v>
      </c>
      <c r="G25">
        <v>2</v>
      </c>
      <c r="H25">
        <v>150</v>
      </c>
      <c r="I25">
        <v>3</v>
      </c>
      <c r="J25" s="25">
        <v>1606.89</v>
      </c>
      <c r="K25" s="19">
        <f t="shared" si="0"/>
        <v>0.85809999999999997</v>
      </c>
    </row>
    <row r="26" spans="1:11" x14ac:dyDescent="0.25">
      <c r="A26" t="s">
        <v>320</v>
      </c>
      <c r="B26" t="s">
        <v>708</v>
      </c>
      <c r="C26" t="s">
        <v>323</v>
      </c>
      <c r="D26" s="9">
        <v>14426</v>
      </c>
      <c r="E26" s="9" t="s">
        <v>354</v>
      </c>
      <c r="F26" t="s">
        <v>297</v>
      </c>
      <c r="G26">
        <v>2</v>
      </c>
      <c r="H26">
        <v>175</v>
      </c>
      <c r="I26">
        <v>3</v>
      </c>
      <c r="J26" s="25">
        <v>1629.71</v>
      </c>
      <c r="K26" s="19">
        <f t="shared" si="0"/>
        <v>0.88700000000000001</v>
      </c>
    </row>
    <row r="27" spans="1:11" x14ac:dyDescent="0.25">
      <c r="A27" t="s">
        <v>321</v>
      </c>
      <c r="B27" t="s">
        <v>708</v>
      </c>
      <c r="C27" t="s">
        <v>324</v>
      </c>
      <c r="D27" s="9">
        <v>14426</v>
      </c>
      <c r="E27" s="9" t="s">
        <v>354</v>
      </c>
      <c r="F27" t="s">
        <v>297</v>
      </c>
      <c r="G27">
        <v>2</v>
      </c>
      <c r="H27">
        <v>200</v>
      </c>
      <c r="I27">
        <v>3</v>
      </c>
      <c r="J27" s="25">
        <v>1627.84</v>
      </c>
      <c r="K27" s="19">
        <f t="shared" si="0"/>
        <v>0.88719999999999999</v>
      </c>
    </row>
    <row r="28" spans="1:11" x14ac:dyDescent="0.25">
      <c r="A28" t="s">
        <v>325</v>
      </c>
      <c r="B28" t="s">
        <v>708</v>
      </c>
      <c r="C28" t="s">
        <v>326</v>
      </c>
      <c r="D28" s="9">
        <v>14426</v>
      </c>
      <c r="E28" s="9" t="s">
        <v>354</v>
      </c>
      <c r="F28" t="s">
        <v>297</v>
      </c>
      <c r="G28">
        <v>2</v>
      </c>
      <c r="H28">
        <v>225</v>
      </c>
      <c r="I28">
        <v>3</v>
      </c>
      <c r="J28" s="25">
        <v>1771.62</v>
      </c>
      <c r="K28" s="19">
        <f t="shared" si="0"/>
        <v>0.87719999999999998</v>
      </c>
    </row>
    <row r="29" spans="1:11" x14ac:dyDescent="0.25">
      <c r="A29" t="s">
        <v>327</v>
      </c>
      <c r="B29" t="s">
        <v>708</v>
      </c>
      <c r="C29" t="s">
        <v>329</v>
      </c>
      <c r="D29" s="9">
        <v>9560</v>
      </c>
      <c r="E29" s="9" t="s">
        <v>354</v>
      </c>
      <c r="F29" t="s">
        <v>298</v>
      </c>
      <c r="G29">
        <v>2</v>
      </c>
      <c r="H29">
        <v>15</v>
      </c>
      <c r="I29">
        <v>3</v>
      </c>
      <c r="J29" s="25">
        <v>1324.1</v>
      </c>
      <c r="K29" s="19">
        <f t="shared" si="0"/>
        <v>0.86150000000000004</v>
      </c>
    </row>
    <row r="30" spans="1:11" x14ac:dyDescent="0.25">
      <c r="A30" t="s">
        <v>328</v>
      </c>
      <c r="B30" t="s">
        <v>708</v>
      </c>
      <c r="C30" t="s">
        <v>330</v>
      </c>
      <c r="D30" s="9">
        <v>9560</v>
      </c>
      <c r="E30" s="9" t="s">
        <v>354</v>
      </c>
      <c r="F30" t="s">
        <v>298</v>
      </c>
      <c r="G30">
        <v>2</v>
      </c>
      <c r="H30">
        <v>20</v>
      </c>
      <c r="I30">
        <v>3</v>
      </c>
      <c r="J30" s="25">
        <v>1278.25</v>
      </c>
      <c r="K30" s="19">
        <f t="shared" si="0"/>
        <v>0.86629999999999996</v>
      </c>
    </row>
    <row r="31" spans="1:11" x14ac:dyDescent="0.25">
      <c r="A31" t="s">
        <v>331</v>
      </c>
      <c r="B31" t="s">
        <v>708</v>
      </c>
      <c r="C31" t="s">
        <v>333</v>
      </c>
      <c r="D31" s="9">
        <v>9560</v>
      </c>
      <c r="E31" s="9" t="s">
        <v>354</v>
      </c>
      <c r="F31" t="s">
        <v>298</v>
      </c>
      <c r="G31">
        <v>2</v>
      </c>
      <c r="H31">
        <v>30</v>
      </c>
      <c r="I31">
        <v>3</v>
      </c>
      <c r="J31" s="25">
        <v>1288.21</v>
      </c>
      <c r="K31" s="19">
        <f t="shared" si="0"/>
        <v>0.86529999999999996</v>
      </c>
    </row>
    <row r="32" spans="1:11" x14ac:dyDescent="0.25">
      <c r="A32" t="s">
        <v>332</v>
      </c>
      <c r="B32" t="s">
        <v>708</v>
      </c>
      <c r="C32" t="s">
        <v>290</v>
      </c>
      <c r="D32" s="9">
        <v>9560</v>
      </c>
      <c r="E32" s="9" t="s">
        <v>354</v>
      </c>
      <c r="F32" t="s">
        <v>298</v>
      </c>
      <c r="G32">
        <v>2</v>
      </c>
      <c r="H32">
        <v>40</v>
      </c>
      <c r="I32">
        <v>3</v>
      </c>
      <c r="J32" s="25">
        <v>1286.55</v>
      </c>
      <c r="K32" s="19">
        <f t="shared" si="0"/>
        <v>0.86539999999999995</v>
      </c>
    </row>
    <row r="33" spans="1:11" x14ac:dyDescent="0.25">
      <c r="A33" t="s">
        <v>334</v>
      </c>
      <c r="B33" t="s">
        <v>708</v>
      </c>
      <c r="C33" t="s">
        <v>335</v>
      </c>
      <c r="D33" s="9">
        <v>9560</v>
      </c>
      <c r="E33" s="9" t="s">
        <v>354</v>
      </c>
      <c r="F33" t="s">
        <v>298</v>
      </c>
      <c r="G33">
        <v>2</v>
      </c>
      <c r="H33">
        <v>50</v>
      </c>
      <c r="I33">
        <v>3</v>
      </c>
      <c r="J33" s="25">
        <v>1285.0899999999999</v>
      </c>
      <c r="K33" s="19">
        <f t="shared" si="0"/>
        <v>0.86560000000000004</v>
      </c>
    </row>
    <row r="34" spans="1:11" x14ac:dyDescent="0.25">
      <c r="A34" t="s">
        <v>336</v>
      </c>
      <c r="B34" t="s">
        <v>708</v>
      </c>
      <c r="C34" t="s">
        <v>339</v>
      </c>
      <c r="D34" s="9">
        <v>9560</v>
      </c>
      <c r="E34" s="9" t="s">
        <v>354</v>
      </c>
      <c r="F34" t="s">
        <v>298</v>
      </c>
      <c r="G34">
        <v>2</v>
      </c>
      <c r="H34">
        <v>60</v>
      </c>
      <c r="I34">
        <v>3</v>
      </c>
      <c r="J34" s="25">
        <v>1401.49</v>
      </c>
      <c r="K34" s="19">
        <f t="shared" si="0"/>
        <v>0.85340000000000005</v>
      </c>
    </row>
    <row r="35" spans="1:11" x14ac:dyDescent="0.25">
      <c r="A35" t="s">
        <v>337</v>
      </c>
      <c r="B35" t="s">
        <v>708</v>
      </c>
      <c r="C35" t="s">
        <v>290</v>
      </c>
      <c r="D35" s="9">
        <v>10363</v>
      </c>
      <c r="E35" s="9" t="s">
        <v>354</v>
      </c>
      <c r="F35" t="s">
        <v>298</v>
      </c>
      <c r="G35">
        <v>2</v>
      </c>
      <c r="H35">
        <v>70</v>
      </c>
      <c r="I35">
        <v>3</v>
      </c>
      <c r="J35" s="25">
        <v>1409.37</v>
      </c>
      <c r="K35" s="19">
        <f t="shared" si="0"/>
        <v>0.86399999999999999</v>
      </c>
    </row>
    <row r="36" spans="1:11" x14ac:dyDescent="0.25">
      <c r="A36" t="s">
        <v>338</v>
      </c>
      <c r="B36" t="s">
        <v>708</v>
      </c>
      <c r="C36" t="s">
        <v>340</v>
      </c>
      <c r="D36" s="9">
        <v>10363</v>
      </c>
      <c r="E36" s="9" t="s">
        <v>354</v>
      </c>
      <c r="F36" t="s">
        <v>298</v>
      </c>
      <c r="G36">
        <v>2</v>
      </c>
      <c r="H36">
        <v>80</v>
      </c>
      <c r="I36">
        <v>3</v>
      </c>
      <c r="J36" s="25">
        <v>1399.62</v>
      </c>
      <c r="K36" s="19">
        <f t="shared" si="0"/>
        <v>0.8649</v>
      </c>
    </row>
    <row r="37" spans="1:11" x14ac:dyDescent="0.25">
      <c r="A37" t="s">
        <v>341</v>
      </c>
      <c r="B37" t="s">
        <v>708</v>
      </c>
      <c r="C37" t="s">
        <v>343</v>
      </c>
      <c r="D37" s="9">
        <v>10363</v>
      </c>
      <c r="E37" s="9" t="s">
        <v>354</v>
      </c>
      <c r="F37" t="s">
        <v>298</v>
      </c>
      <c r="G37">
        <v>2</v>
      </c>
      <c r="H37">
        <v>100</v>
      </c>
      <c r="I37">
        <v>3</v>
      </c>
      <c r="J37" s="25">
        <v>1401.28</v>
      </c>
      <c r="K37" s="19">
        <f t="shared" si="0"/>
        <v>0.86480000000000001</v>
      </c>
    </row>
    <row r="38" spans="1:11" x14ac:dyDescent="0.25">
      <c r="A38" t="s">
        <v>342</v>
      </c>
      <c r="B38" t="s">
        <v>708</v>
      </c>
      <c r="C38" t="s">
        <v>344</v>
      </c>
      <c r="D38" s="9">
        <v>13297</v>
      </c>
      <c r="E38" s="9" t="s">
        <v>354</v>
      </c>
      <c r="F38" t="s">
        <v>298</v>
      </c>
      <c r="G38">
        <v>2</v>
      </c>
      <c r="H38">
        <v>125</v>
      </c>
      <c r="I38">
        <v>3</v>
      </c>
      <c r="J38" s="25">
        <v>1568.92</v>
      </c>
      <c r="K38" s="19">
        <f t="shared" si="0"/>
        <v>0.88200000000000001</v>
      </c>
    </row>
    <row r="39" spans="1:11" x14ac:dyDescent="0.25">
      <c r="A39" t="s">
        <v>345</v>
      </c>
      <c r="B39" t="s">
        <v>708</v>
      </c>
      <c r="C39" t="s">
        <v>348</v>
      </c>
      <c r="D39" s="9">
        <v>13297</v>
      </c>
      <c r="E39" s="9" t="s">
        <v>354</v>
      </c>
      <c r="F39" t="s">
        <v>298</v>
      </c>
      <c r="G39">
        <v>2</v>
      </c>
      <c r="H39">
        <v>150</v>
      </c>
      <c r="I39">
        <v>3</v>
      </c>
      <c r="J39" s="25">
        <v>1606.89</v>
      </c>
      <c r="K39" s="19">
        <f t="shared" si="0"/>
        <v>0.87919999999999998</v>
      </c>
    </row>
    <row r="40" spans="1:11" x14ac:dyDescent="0.25">
      <c r="A40" t="s">
        <v>346</v>
      </c>
      <c r="B40" t="s">
        <v>708</v>
      </c>
      <c r="C40" t="s">
        <v>349</v>
      </c>
      <c r="D40" s="9">
        <v>16566</v>
      </c>
      <c r="E40" s="9" t="s">
        <v>354</v>
      </c>
      <c r="F40" t="s">
        <v>298</v>
      </c>
      <c r="G40">
        <v>2</v>
      </c>
      <c r="H40">
        <v>175</v>
      </c>
      <c r="I40">
        <v>3</v>
      </c>
      <c r="J40" s="25">
        <v>1629.71</v>
      </c>
      <c r="K40" s="19">
        <f t="shared" si="0"/>
        <v>0.90159999999999996</v>
      </c>
    </row>
    <row r="41" spans="1:11" x14ac:dyDescent="0.25">
      <c r="A41" t="s">
        <v>347</v>
      </c>
      <c r="B41" t="s">
        <v>708</v>
      </c>
      <c r="C41" t="s">
        <v>350</v>
      </c>
      <c r="D41" s="9">
        <v>16566</v>
      </c>
      <c r="E41" s="9" t="s">
        <v>354</v>
      </c>
      <c r="F41" t="s">
        <v>298</v>
      </c>
      <c r="G41">
        <v>2</v>
      </c>
      <c r="H41">
        <v>200</v>
      </c>
      <c r="I41">
        <v>3</v>
      </c>
      <c r="J41" s="25">
        <v>1627.84</v>
      </c>
      <c r="K41" s="19">
        <f t="shared" si="0"/>
        <v>0.90169999999999995</v>
      </c>
    </row>
    <row r="42" spans="1:11" x14ac:dyDescent="0.25">
      <c r="A42" t="s">
        <v>351</v>
      </c>
      <c r="B42" t="s">
        <v>708</v>
      </c>
      <c r="C42" t="s">
        <v>352</v>
      </c>
      <c r="D42" s="9">
        <v>16566</v>
      </c>
      <c r="E42" s="9" t="s">
        <v>354</v>
      </c>
      <c r="F42" t="s">
        <v>298</v>
      </c>
      <c r="G42">
        <v>2</v>
      </c>
      <c r="H42">
        <v>225</v>
      </c>
      <c r="I42">
        <v>3</v>
      </c>
      <c r="J42" s="25">
        <v>1771.62</v>
      </c>
      <c r="K42" s="19">
        <f t="shared" si="0"/>
        <v>0.8931</v>
      </c>
    </row>
    <row r="43" spans="1:11" x14ac:dyDescent="0.25">
      <c r="A43" t="s">
        <v>355</v>
      </c>
      <c r="B43" t="s">
        <v>709</v>
      </c>
      <c r="C43" t="s">
        <v>364</v>
      </c>
      <c r="D43" s="9">
        <v>24522</v>
      </c>
      <c r="E43" s="9" t="s">
        <v>354</v>
      </c>
      <c r="F43" t="s">
        <v>215</v>
      </c>
      <c r="G43">
        <v>3</v>
      </c>
      <c r="H43">
        <v>175</v>
      </c>
      <c r="I43">
        <v>3</v>
      </c>
      <c r="J43" s="25">
        <v>4350.1099999999997</v>
      </c>
      <c r="K43" s="19">
        <f t="shared" si="0"/>
        <v>0.8226</v>
      </c>
    </row>
    <row r="44" spans="1:11" x14ac:dyDescent="0.25">
      <c r="A44" t="s">
        <v>356</v>
      </c>
      <c r="B44" t="s">
        <v>709</v>
      </c>
      <c r="C44" t="s">
        <v>365</v>
      </c>
      <c r="D44" s="9">
        <v>24522</v>
      </c>
      <c r="E44" s="9" t="s">
        <v>354</v>
      </c>
      <c r="F44" t="s">
        <v>215</v>
      </c>
      <c r="G44">
        <v>3</v>
      </c>
      <c r="H44">
        <v>200</v>
      </c>
      <c r="I44">
        <v>3</v>
      </c>
      <c r="J44" s="25">
        <v>4274.79</v>
      </c>
      <c r="K44" s="19">
        <f t="shared" si="0"/>
        <v>0.82569999999999999</v>
      </c>
    </row>
    <row r="45" spans="1:11" x14ac:dyDescent="0.25">
      <c r="A45" t="s">
        <v>357</v>
      </c>
      <c r="B45" t="s">
        <v>709</v>
      </c>
      <c r="C45" t="s">
        <v>366</v>
      </c>
      <c r="D45" s="9">
        <v>24522</v>
      </c>
      <c r="E45" s="9" t="s">
        <v>354</v>
      </c>
      <c r="F45" t="s">
        <v>215</v>
      </c>
      <c r="G45">
        <v>3</v>
      </c>
      <c r="H45">
        <v>225</v>
      </c>
      <c r="I45">
        <v>3</v>
      </c>
      <c r="J45" s="25">
        <v>4233.71</v>
      </c>
      <c r="K45" s="19">
        <f t="shared" si="0"/>
        <v>0.82740000000000002</v>
      </c>
    </row>
    <row r="46" spans="1:11" x14ac:dyDescent="0.25">
      <c r="A46" t="s">
        <v>358</v>
      </c>
      <c r="B46" t="s">
        <v>709</v>
      </c>
      <c r="C46" t="s">
        <v>367</v>
      </c>
      <c r="D46" s="9">
        <v>24522</v>
      </c>
      <c r="E46" s="9" t="s">
        <v>354</v>
      </c>
      <c r="F46" t="s">
        <v>215</v>
      </c>
      <c r="G46">
        <v>3</v>
      </c>
      <c r="H46">
        <v>250</v>
      </c>
      <c r="I46">
        <v>3</v>
      </c>
      <c r="J46" s="25">
        <v>4150.3100000000004</v>
      </c>
      <c r="K46" s="19">
        <f t="shared" si="0"/>
        <v>0.83079999999999998</v>
      </c>
    </row>
    <row r="47" spans="1:11" x14ac:dyDescent="0.25">
      <c r="A47" t="s">
        <v>359</v>
      </c>
      <c r="B47" t="s">
        <v>709</v>
      </c>
      <c r="C47" t="s">
        <v>368</v>
      </c>
      <c r="D47" s="9">
        <v>24522</v>
      </c>
      <c r="E47" s="9" t="s">
        <v>354</v>
      </c>
      <c r="F47" t="s">
        <v>215</v>
      </c>
      <c r="G47">
        <v>3</v>
      </c>
      <c r="H47">
        <v>300</v>
      </c>
      <c r="I47">
        <v>3</v>
      </c>
      <c r="J47" s="25">
        <v>4150.3100000000004</v>
      </c>
      <c r="K47" s="19">
        <f t="shared" si="0"/>
        <v>0.83079999999999998</v>
      </c>
    </row>
    <row r="48" spans="1:11" x14ac:dyDescent="0.25">
      <c r="A48" t="s">
        <v>360</v>
      </c>
      <c r="B48" t="s">
        <v>709</v>
      </c>
      <c r="C48" t="s">
        <v>369</v>
      </c>
      <c r="D48" s="9">
        <v>24522</v>
      </c>
      <c r="E48" s="9" t="s">
        <v>354</v>
      </c>
      <c r="F48" t="s">
        <v>215</v>
      </c>
      <c r="G48">
        <v>3</v>
      </c>
      <c r="H48">
        <v>350</v>
      </c>
      <c r="I48">
        <v>3</v>
      </c>
      <c r="J48" s="25">
        <v>4055.29</v>
      </c>
      <c r="K48" s="19">
        <f t="shared" si="0"/>
        <v>0.83460000000000001</v>
      </c>
    </row>
    <row r="49" spans="1:11" x14ac:dyDescent="0.25">
      <c r="A49" t="s">
        <v>361</v>
      </c>
      <c r="B49" t="s">
        <v>709</v>
      </c>
      <c r="C49" t="s">
        <v>370</v>
      </c>
      <c r="D49" s="9">
        <v>24522</v>
      </c>
      <c r="E49" s="9" t="s">
        <v>354</v>
      </c>
      <c r="F49" t="s">
        <v>215</v>
      </c>
      <c r="G49">
        <v>3</v>
      </c>
      <c r="H49">
        <v>400</v>
      </c>
      <c r="I49">
        <v>3</v>
      </c>
      <c r="J49" s="25">
        <v>4345.75</v>
      </c>
      <c r="K49" s="19">
        <f t="shared" si="0"/>
        <v>0.82279999999999998</v>
      </c>
    </row>
    <row r="50" spans="1:11" x14ac:dyDescent="0.25">
      <c r="A50" t="s">
        <v>362</v>
      </c>
      <c r="B50" t="s">
        <v>709</v>
      </c>
      <c r="C50" t="s">
        <v>371</v>
      </c>
      <c r="D50" s="9">
        <v>33322</v>
      </c>
      <c r="E50" s="9" t="s">
        <v>354</v>
      </c>
      <c r="F50" t="s">
        <v>215</v>
      </c>
      <c r="G50">
        <v>3</v>
      </c>
      <c r="H50">
        <v>500</v>
      </c>
      <c r="I50">
        <v>3</v>
      </c>
      <c r="J50" s="25">
        <v>8853.39</v>
      </c>
      <c r="K50" s="19">
        <f t="shared" si="0"/>
        <v>0.73429999999999995</v>
      </c>
    </row>
    <row r="51" spans="1:11" x14ac:dyDescent="0.25">
      <c r="A51" t="s">
        <v>363</v>
      </c>
      <c r="B51" t="s">
        <v>709</v>
      </c>
      <c r="C51" t="s">
        <v>372</v>
      </c>
      <c r="D51" s="9">
        <v>33322</v>
      </c>
      <c r="E51" s="9" t="s">
        <v>354</v>
      </c>
      <c r="F51" t="s">
        <v>215</v>
      </c>
      <c r="G51">
        <v>3</v>
      </c>
      <c r="H51">
        <v>600</v>
      </c>
      <c r="I51">
        <v>3</v>
      </c>
      <c r="J51" s="25">
        <v>5884.59</v>
      </c>
      <c r="K51" s="19">
        <f t="shared" si="0"/>
        <v>0.82340000000000002</v>
      </c>
    </row>
    <row r="52" spans="1:11" x14ac:dyDescent="0.25">
      <c r="A52" t="s">
        <v>373</v>
      </c>
      <c r="B52" t="s">
        <v>709</v>
      </c>
      <c r="C52" t="s">
        <v>376</v>
      </c>
      <c r="D52" s="9">
        <v>28001</v>
      </c>
      <c r="E52" s="9" t="s">
        <v>354</v>
      </c>
      <c r="F52" t="s">
        <v>297</v>
      </c>
      <c r="G52">
        <v>3</v>
      </c>
      <c r="H52">
        <v>175</v>
      </c>
      <c r="I52">
        <v>3</v>
      </c>
      <c r="J52" s="25">
        <v>4350.1099999999997</v>
      </c>
      <c r="K52" s="19">
        <f t="shared" si="0"/>
        <v>0.84460000000000002</v>
      </c>
    </row>
    <row r="53" spans="1:11" x14ac:dyDescent="0.25">
      <c r="A53" t="s">
        <v>374</v>
      </c>
      <c r="B53" t="s">
        <v>709</v>
      </c>
      <c r="C53" t="s">
        <v>377</v>
      </c>
      <c r="D53" s="9">
        <v>28001</v>
      </c>
      <c r="E53" s="9" t="s">
        <v>354</v>
      </c>
      <c r="F53" t="s">
        <v>297</v>
      </c>
      <c r="G53">
        <v>3</v>
      </c>
      <c r="H53">
        <v>200</v>
      </c>
      <c r="I53">
        <v>3</v>
      </c>
      <c r="J53" s="25">
        <v>4274.79</v>
      </c>
      <c r="K53" s="19">
        <f t="shared" si="0"/>
        <v>0.84730000000000005</v>
      </c>
    </row>
    <row r="54" spans="1:11" x14ac:dyDescent="0.25">
      <c r="A54" t="s">
        <v>375</v>
      </c>
      <c r="B54" t="s">
        <v>709</v>
      </c>
      <c r="C54" t="s">
        <v>378</v>
      </c>
      <c r="D54" s="9">
        <v>28001</v>
      </c>
      <c r="E54" s="9" t="s">
        <v>354</v>
      </c>
      <c r="F54" t="s">
        <v>297</v>
      </c>
      <c r="G54">
        <v>3</v>
      </c>
      <c r="H54">
        <v>225</v>
      </c>
      <c r="I54">
        <v>3</v>
      </c>
      <c r="J54" s="25">
        <v>4233.71</v>
      </c>
      <c r="K54" s="19">
        <f t="shared" si="0"/>
        <v>0.8488</v>
      </c>
    </row>
    <row r="55" spans="1:11" x14ac:dyDescent="0.25">
      <c r="A55" t="s">
        <v>379</v>
      </c>
      <c r="B55" t="s">
        <v>709</v>
      </c>
      <c r="C55" t="s">
        <v>382</v>
      </c>
      <c r="D55" s="9">
        <v>28001</v>
      </c>
      <c r="E55" s="9" t="s">
        <v>354</v>
      </c>
      <c r="F55" t="s">
        <v>297</v>
      </c>
      <c r="G55">
        <v>3</v>
      </c>
      <c r="H55">
        <v>250</v>
      </c>
      <c r="I55">
        <v>3</v>
      </c>
      <c r="J55" s="25">
        <v>4150.3100000000004</v>
      </c>
      <c r="K55" s="19">
        <f t="shared" si="0"/>
        <v>0.8518</v>
      </c>
    </row>
    <row r="56" spans="1:11" x14ac:dyDescent="0.25">
      <c r="A56" t="s">
        <v>380</v>
      </c>
      <c r="B56" t="s">
        <v>709</v>
      </c>
      <c r="C56" t="s">
        <v>383</v>
      </c>
      <c r="D56" s="9">
        <v>28001</v>
      </c>
      <c r="E56" s="9" t="s">
        <v>354</v>
      </c>
      <c r="F56" t="s">
        <v>297</v>
      </c>
      <c r="G56">
        <v>3</v>
      </c>
      <c r="H56">
        <v>300</v>
      </c>
      <c r="I56">
        <v>3</v>
      </c>
      <c r="J56" s="25">
        <v>4150.3100000000004</v>
      </c>
      <c r="K56" s="19">
        <f t="shared" si="0"/>
        <v>0.8518</v>
      </c>
    </row>
    <row r="57" spans="1:11" x14ac:dyDescent="0.25">
      <c r="A57" t="s">
        <v>381</v>
      </c>
      <c r="B57" t="s">
        <v>709</v>
      </c>
      <c r="C57" t="s">
        <v>384</v>
      </c>
      <c r="D57" s="9">
        <v>28001</v>
      </c>
      <c r="E57" s="9" t="s">
        <v>354</v>
      </c>
      <c r="F57" t="s">
        <v>297</v>
      </c>
      <c r="G57">
        <v>3</v>
      </c>
      <c r="H57">
        <v>350</v>
      </c>
      <c r="I57">
        <v>3</v>
      </c>
      <c r="J57" s="25">
        <v>4055.29</v>
      </c>
      <c r="K57" s="19">
        <f t="shared" si="0"/>
        <v>0.85519999999999996</v>
      </c>
    </row>
    <row r="58" spans="1:11" x14ac:dyDescent="0.25">
      <c r="A58" t="s">
        <v>385</v>
      </c>
      <c r="B58" t="s">
        <v>709</v>
      </c>
      <c r="C58" t="s">
        <v>387</v>
      </c>
      <c r="D58" s="9">
        <v>28001</v>
      </c>
      <c r="E58" s="9" t="s">
        <v>354</v>
      </c>
      <c r="F58" t="s">
        <v>297</v>
      </c>
      <c r="G58">
        <v>3</v>
      </c>
      <c r="H58">
        <v>400</v>
      </c>
      <c r="I58">
        <v>3</v>
      </c>
      <c r="J58" s="25">
        <v>4345.75</v>
      </c>
      <c r="K58" s="19">
        <f t="shared" si="0"/>
        <v>0.8448</v>
      </c>
    </row>
    <row r="59" spans="1:11" x14ac:dyDescent="0.25">
      <c r="A59" t="s">
        <v>386</v>
      </c>
      <c r="B59" t="s">
        <v>709</v>
      </c>
      <c r="C59" t="s">
        <v>388</v>
      </c>
      <c r="D59" s="9">
        <v>37539</v>
      </c>
      <c r="E59" s="9" t="s">
        <v>354</v>
      </c>
      <c r="F59" t="s">
        <v>297</v>
      </c>
      <c r="G59">
        <v>3</v>
      </c>
      <c r="H59">
        <v>500</v>
      </c>
      <c r="I59">
        <v>3</v>
      </c>
      <c r="J59" s="25">
        <v>6026.7</v>
      </c>
      <c r="K59" s="19">
        <f t="shared" si="0"/>
        <v>0.83950000000000002</v>
      </c>
    </row>
    <row r="60" spans="1:11" x14ac:dyDescent="0.25">
      <c r="A60" t="s">
        <v>389</v>
      </c>
      <c r="B60" t="s">
        <v>709</v>
      </c>
      <c r="C60" t="s">
        <v>390</v>
      </c>
      <c r="D60" s="9">
        <v>37539</v>
      </c>
      <c r="E60" s="9" t="s">
        <v>354</v>
      </c>
      <c r="F60" t="s">
        <v>297</v>
      </c>
      <c r="G60">
        <v>3</v>
      </c>
      <c r="H60">
        <v>600</v>
      </c>
      <c r="I60">
        <v>3</v>
      </c>
      <c r="J60" s="25">
        <v>5884.59</v>
      </c>
      <c r="K60" s="19">
        <f t="shared" si="0"/>
        <v>0.84319999999999995</v>
      </c>
    </row>
    <row r="61" spans="1:11" x14ac:dyDescent="0.25">
      <c r="A61" t="s">
        <v>391</v>
      </c>
      <c r="B61" t="s">
        <v>709</v>
      </c>
      <c r="C61" t="s">
        <v>392</v>
      </c>
      <c r="D61" s="10">
        <v>31937</v>
      </c>
      <c r="E61" s="9" t="s">
        <v>354</v>
      </c>
      <c r="F61" t="s">
        <v>298</v>
      </c>
      <c r="G61">
        <v>3</v>
      </c>
      <c r="H61">
        <v>175</v>
      </c>
      <c r="I61">
        <v>3</v>
      </c>
      <c r="J61" s="25">
        <v>4350.1099999999997</v>
      </c>
      <c r="K61" s="19">
        <f t="shared" si="0"/>
        <v>0.86380000000000001</v>
      </c>
    </row>
    <row r="62" spans="1:11" x14ac:dyDescent="0.25">
      <c r="A62" t="s">
        <v>393</v>
      </c>
      <c r="B62" t="s">
        <v>709</v>
      </c>
      <c r="C62" t="s">
        <v>394</v>
      </c>
      <c r="D62" s="10">
        <v>31937</v>
      </c>
      <c r="E62" s="9" t="s">
        <v>354</v>
      </c>
      <c r="F62" t="s">
        <v>298</v>
      </c>
      <c r="G62">
        <v>3</v>
      </c>
      <c r="H62">
        <v>200</v>
      </c>
      <c r="I62">
        <v>3</v>
      </c>
      <c r="J62" s="25">
        <v>4274.79</v>
      </c>
      <c r="K62" s="19">
        <f t="shared" si="0"/>
        <v>0.86609999999999998</v>
      </c>
    </row>
    <row r="63" spans="1:11" x14ac:dyDescent="0.25">
      <c r="A63" t="s">
        <v>395</v>
      </c>
      <c r="B63" t="s">
        <v>709</v>
      </c>
      <c r="C63" t="s">
        <v>396</v>
      </c>
      <c r="D63" s="10">
        <v>31937</v>
      </c>
      <c r="E63" s="9" t="s">
        <v>354</v>
      </c>
      <c r="F63" t="s">
        <v>298</v>
      </c>
      <c r="G63">
        <v>3</v>
      </c>
      <c r="H63">
        <v>225</v>
      </c>
      <c r="I63">
        <v>3</v>
      </c>
      <c r="J63" s="25">
        <v>4233.71</v>
      </c>
      <c r="K63" s="19">
        <f t="shared" si="0"/>
        <v>0.86739999999999995</v>
      </c>
    </row>
    <row r="64" spans="1:11" x14ac:dyDescent="0.25">
      <c r="A64" t="s">
        <v>397</v>
      </c>
      <c r="B64" t="s">
        <v>709</v>
      </c>
      <c r="C64" t="s">
        <v>398</v>
      </c>
      <c r="D64" s="10">
        <v>31937</v>
      </c>
      <c r="E64" s="9" t="s">
        <v>354</v>
      </c>
      <c r="F64" t="s">
        <v>298</v>
      </c>
      <c r="G64">
        <v>3</v>
      </c>
      <c r="H64">
        <v>250</v>
      </c>
      <c r="I64">
        <v>3</v>
      </c>
      <c r="J64" s="25">
        <v>4150.3100000000004</v>
      </c>
      <c r="K64" s="19">
        <f t="shared" si="0"/>
        <v>0.87</v>
      </c>
    </row>
    <row r="65" spans="1:11" x14ac:dyDescent="0.25">
      <c r="A65" t="s">
        <v>399</v>
      </c>
      <c r="B65" t="s">
        <v>709</v>
      </c>
      <c r="C65" t="s">
        <v>400</v>
      </c>
      <c r="D65" s="10">
        <v>31937</v>
      </c>
      <c r="E65" s="9" t="s">
        <v>354</v>
      </c>
      <c r="F65" t="s">
        <v>298</v>
      </c>
      <c r="G65">
        <v>3</v>
      </c>
      <c r="H65">
        <v>300</v>
      </c>
      <c r="I65">
        <v>3</v>
      </c>
      <c r="J65" s="25">
        <v>4150.3100000000004</v>
      </c>
      <c r="K65" s="19">
        <f t="shared" si="0"/>
        <v>0.87</v>
      </c>
    </row>
    <row r="66" spans="1:11" x14ac:dyDescent="0.25">
      <c r="A66" t="s">
        <v>401</v>
      </c>
      <c r="B66" t="s">
        <v>709</v>
      </c>
      <c r="C66" t="s">
        <v>402</v>
      </c>
      <c r="D66" s="10">
        <v>31937</v>
      </c>
      <c r="E66" s="9" t="s">
        <v>354</v>
      </c>
      <c r="F66" t="s">
        <v>298</v>
      </c>
      <c r="G66">
        <v>3</v>
      </c>
      <c r="H66">
        <v>350</v>
      </c>
      <c r="I66">
        <v>3</v>
      </c>
      <c r="J66" s="25">
        <v>4055.29</v>
      </c>
      <c r="K66" s="19">
        <f t="shared" si="0"/>
        <v>0.873</v>
      </c>
    </row>
    <row r="67" spans="1:11" x14ac:dyDescent="0.25">
      <c r="A67" t="s">
        <v>403</v>
      </c>
      <c r="B67" t="s">
        <v>709</v>
      </c>
      <c r="C67" t="s">
        <v>404</v>
      </c>
      <c r="D67" s="10">
        <v>31937</v>
      </c>
      <c r="E67" s="9" t="s">
        <v>354</v>
      </c>
      <c r="F67" t="s">
        <v>298</v>
      </c>
      <c r="G67">
        <v>3</v>
      </c>
      <c r="H67">
        <v>400</v>
      </c>
      <c r="I67">
        <v>3</v>
      </c>
      <c r="J67" s="25">
        <v>4345.75</v>
      </c>
      <c r="K67" s="19">
        <f t="shared" ref="K67:K79" si="1">ROUND(((D67-J67)/D67),4)</f>
        <v>0.8639</v>
      </c>
    </row>
    <row r="68" spans="1:11" x14ac:dyDescent="0.25">
      <c r="A68" t="s">
        <v>405</v>
      </c>
      <c r="B68" t="s">
        <v>709</v>
      </c>
      <c r="C68" t="s">
        <v>406</v>
      </c>
      <c r="D68" s="10">
        <v>45279</v>
      </c>
      <c r="E68" s="9" t="s">
        <v>354</v>
      </c>
      <c r="F68" t="s">
        <v>298</v>
      </c>
      <c r="G68">
        <v>3</v>
      </c>
      <c r="H68">
        <v>500</v>
      </c>
      <c r="I68">
        <v>3</v>
      </c>
      <c r="J68" s="25">
        <v>6026.7</v>
      </c>
      <c r="K68" s="19">
        <f t="shared" si="1"/>
        <v>0.8669</v>
      </c>
    </row>
    <row r="69" spans="1:11" x14ac:dyDescent="0.25">
      <c r="A69" t="s">
        <v>407</v>
      </c>
      <c r="B69" t="s">
        <v>709</v>
      </c>
      <c r="C69" t="s">
        <v>408</v>
      </c>
      <c r="D69" s="10">
        <v>45279</v>
      </c>
      <c r="E69" s="9" t="s">
        <v>354</v>
      </c>
      <c r="F69" t="s">
        <v>298</v>
      </c>
      <c r="G69">
        <v>3</v>
      </c>
      <c r="H69">
        <v>600</v>
      </c>
      <c r="I69">
        <v>3</v>
      </c>
      <c r="J69" s="25">
        <v>5884.59</v>
      </c>
      <c r="K69" s="19">
        <f t="shared" si="1"/>
        <v>0.87</v>
      </c>
    </row>
    <row r="70" spans="1:11" x14ac:dyDescent="0.25">
      <c r="A70" t="s">
        <v>409</v>
      </c>
      <c r="B70" t="s">
        <v>710</v>
      </c>
      <c r="C70" t="s">
        <v>411</v>
      </c>
      <c r="D70" s="9">
        <v>61134</v>
      </c>
      <c r="E70" s="9" t="s">
        <v>354</v>
      </c>
      <c r="F70" t="s">
        <v>217</v>
      </c>
      <c r="G70">
        <v>4</v>
      </c>
      <c r="H70">
        <v>600</v>
      </c>
      <c r="I70">
        <v>3</v>
      </c>
      <c r="J70" s="25">
        <v>11967.52</v>
      </c>
      <c r="K70" s="19">
        <f t="shared" si="1"/>
        <v>0.80420000000000003</v>
      </c>
    </row>
    <row r="71" spans="1:11" x14ac:dyDescent="0.25">
      <c r="A71" t="s">
        <v>410</v>
      </c>
      <c r="B71" t="s">
        <v>710</v>
      </c>
      <c r="C71" t="s">
        <v>412</v>
      </c>
      <c r="D71" s="9">
        <v>61134</v>
      </c>
      <c r="E71" s="9" t="s">
        <v>354</v>
      </c>
      <c r="F71" t="s">
        <v>217</v>
      </c>
      <c r="G71">
        <v>4</v>
      </c>
      <c r="H71">
        <v>700</v>
      </c>
      <c r="I71">
        <v>3</v>
      </c>
      <c r="J71" s="25">
        <v>9089.85</v>
      </c>
      <c r="K71" s="19">
        <f t="shared" si="1"/>
        <v>0.85129999999999995</v>
      </c>
    </row>
    <row r="72" spans="1:11" x14ac:dyDescent="0.25">
      <c r="A72" t="s">
        <v>413</v>
      </c>
      <c r="B72" t="s">
        <v>710</v>
      </c>
      <c r="C72" t="s">
        <v>414</v>
      </c>
      <c r="D72" s="9">
        <v>61134</v>
      </c>
      <c r="E72" s="9" t="s">
        <v>354</v>
      </c>
      <c r="F72" t="s">
        <v>217</v>
      </c>
      <c r="G72">
        <v>4</v>
      </c>
      <c r="H72">
        <v>800</v>
      </c>
      <c r="I72">
        <v>3</v>
      </c>
      <c r="J72" s="25">
        <v>11972.29</v>
      </c>
      <c r="K72" s="19">
        <f t="shared" si="1"/>
        <v>0.80420000000000003</v>
      </c>
    </row>
    <row r="73" spans="1:11" x14ac:dyDescent="0.25">
      <c r="A73" t="s">
        <v>415</v>
      </c>
      <c r="B73" t="s">
        <v>710</v>
      </c>
      <c r="C73" t="s">
        <v>417</v>
      </c>
      <c r="D73" s="9">
        <v>71729</v>
      </c>
      <c r="E73" s="9" t="s">
        <v>354</v>
      </c>
      <c r="F73" t="s">
        <v>298</v>
      </c>
      <c r="G73">
        <v>4</v>
      </c>
      <c r="H73">
        <v>600</v>
      </c>
      <c r="I73">
        <v>3</v>
      </c>
      <c r="J73" s="25">
        <v>9344.2099999999991</v>
      </c>
      <c r="K73" s="19">
        <f t="shared" si="1"/>
        <v>0.86970000000000003</v>
      </c>
    </row>
    <row r="74" spans="1:11" x14ac:dyDescent="0.25">
      <c r="A74" t="s">
        <v>416</v>
      </c>
      <c r="B74" t="s">
        <v>710</v>
      </c>
      <c r="C74" t="s">
        <v>418</v>
      </c>
      <c r="D74" s="9">
        <v>71729</v>
      </c>
      <c r="E74" s="9" t="s">
        <v>354</v>
      </c>
      <c r="F74" t="s">
        <v>298</v>
      </c>
      <c r="G74">
        <v>4</v>
      </c>
      <c r="H74">
        <v>700</v>
      </c>
      <c r="I74">
        <v>3</v>
      </c>
      <c r="J74" s="25">
        <v>11861.29</v>
      </c>
      <c r="K74" s="19">
        <f t="shared" si="1"/>
        <v>0.83460000000000001</v>
      </c>
    </row>
    <row r="75" spans="1:11" x14ac:dyDescent="0.25">
      <c r="A75" t="s">
        <v>419</v>
      </c>
      <c r="B75" t="s">
        <v>710</v>
      </c>
      <c r="C75" t="s">
        <v>420</v>
      </c>
      <c r="D75" s="9">
        <v>71729</v>
      </c>
      <c r="E75" s="9" t="s">
        <v>354</v>
      </c>
      <c r="F75" t="s">
        <v>298</v>
      </c>
      <c r="G75">
        <v>4</v>
      </c>
      <c r="H75">
        <v>800</v>
      </c>
      <c r="I75">
        <v>3</v>
      </c>
      <c r="J75" s="25">
        <v>13169.62</v>
      </c>
      <c r="K75" s="19">
        <f t="shared" si="1"/>
        <v>0.81640000000000001</v>
      </c>
    </row>
    <row r="76" spans="1:11" x14ac:dyDescent="0.25">
      <c r="A76" t="s">
        <v>739</v>
      </c>
      <c r="B76" t="s">
        <v>711</v>
      </c>
      <c r="C76" t="s">
        <v>740</v>
      </c>
      <c r="D76" s="9">
        <v>112002</v>
      </c>
      <c r="E76" s="9" t="s">
        <v>354</v>
      </c>
      <c r="F76" t="s">
        <v>217</v>
      </c>
      <c r="G76">
        <v>5</v>
      </c>
      <c r="H76">
        <v>800</v>
      </c>
      <c r="I76">
        <v>3</v>
      </c>
      <c r="J76" s="25">
        <v>21811.119999999999</v>
      </c>
      <c r="K76" s="19">
        <f t="shared" si="1"/>
        <v>0.80530000000000002</v>
      </c>
    </row>
    <row r="77" spans="1:11" x14ac:dyDescent="0.25">
      <c r="A77" t="s">
        <v>741</v>
      </c>
      <c r="B77" t="s">
        <v>711</v>
      </c>
      <c r="C77" t="s">
        <v>742</v>
      </c>
      <c r="D77" s="9">
        <v>122451</v>
      </c>
      <c r="E77" s="9" t="s">
        <v>354</v>
      </c>
      <c r="F77" t="s">
        <v>217</v>
      </c>
      <c r="G77">
        <v>5</v>
      </c>
      <c r="H77">
        <v>1200</v>
      </c>
      <c r="I77">
        <v>3</v>
      </c>
      <c r="J77" s="25">
        <v>23592.91</v>
      </c>
      <c r="K77" s="19">
        <f t="shared" si="1"/>
        <v>0.80730000000000002</v>
      </c>
    </row>
    <row r="78" spans="1:11" x14ac:dyDescent="0.25">
      <c r="A78" t="s">
        <v>743</v>
      </c>
      <c r="B78" t="s">
        <v>711</v>
      </c>
      <c r="C78" t="s">
        <v>744</v>
      </c>
      <c r="D78" s="9">
        <v>115908</v>
      </c>
      <c r="E78" s="9" t="s">
        <v>354</v>
      </c>
      <c r="F78" t="s">
        <v>298</v>
      </c>
      <c r="G78">
        <v>5</v>
      </c>
      <c r="H78">
        <v>800</v>
      </c>
      <c r="I78">
        <v>3</v>
      </c>
      <c r="J78" s="25">
        <v>20351.330000000002</v>
      </c>
      <c r="K78" s="19">
        <f t="shared" si="1"/>
        <v>0.82440000000000002</v>
      </c>
    </row>
    <row r="79" spans="1:11" x14ac:dyDescent="0.25">
      <c r="A79" t="s">
        <v>745</v>
      </c>
      <c r="B79" t="s">
        <v>711</v>
      </c>
      <c r="C79" t="s">
        <v>746</v>
      </c>
      <c r="D79" s="9">
        <v>125634</v>
      </c>
      <c r="E79" s="9" t="s">
        <v>354</v>
      </c>
      <c r="F79" t="s">
        <v>298</v>
      </c>
      <c r="G79">
        <v>5</v>
      </c>
      <c r="H79">
        <v>1200</v>
      </c>
      <c r="I79">
        <v>3</v>
      </c>
      <c r="J79" s="25">
        <v>23676.31</v>
      </c>
      <c r="K79" s="19">
        <f t="shared" si="1"/>
        <v>0.8115</v>
      </c>
    </row>
  </sheetData>
  <autoFilter ref="A1:I79" xr:uid="{8BC118DC-A31E-40E5-8016-5940C6148308}"/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CEA00-E98C-48D1-8951-FCFD66D8871D}">
  <dimension ref="A1:F17"/>
  <sheetViews>
    <sheetView workbookViewId="0">
      <selection sqref="A1:A17"/>
    </sheetView>
  </sheetViews>
  <sheetFormatPr defaultRowHeight="15" x14ac:dyDescent="0.25"/>
  <cols>
    <col min="1" max="1" width="10.42578125" customWidth="1"/>
    <col min="2" max="2" width="48.5703125" customWidth="1"/>
    <col min="3" max="3" width="11.5703125" bestFit="1" customWidth="1"/>
  </cols>
  <sheetData>
    <row r="1" spans="1:6" s="3" customFormat="1" x14ac:dyDescent="0.25">
      <c r="A1" s="3" t="s">
        <v>0</v>
      </c>
      <c r="B1" s="3" t="s">
        <v>1</v>
      </c>
      <c r="C1" s="3" t="s">
        <v>2</v>
      </c>
      <c r="D1" s="3" t="s">
        <v>263</v>
      </c>
      <c r="E1" s="3" t="s">
        <v>205</v>
      </c>
      <c r="F1" s="3" t="s">
        <v>270</v>
      </c>
    </row>
    <row r="2" spans="1:6" x14ac:dyDescent="0.25">
      <c r="A2" t="s">
        <v>605</v>
      </c>
      <c r="B2" t="s">
        <v>606</v>
      </c>
      <c r="C2" s="9">
        <v>27883</v>
      </c>
      <c r="D2" t="s">
        <v>265</v>
      </c>
      <c r="E2">
        <v>175</v>
      </c>
      <c r="F2">
        <v>3</v>
      </c>
    </row>
    <row r="3" spans="1:6" x14ac:dyDescent="0.25">
      <c r="A3" t="s">
        <v>607</v>
      </c>
      <c r="B3" t="s">
        <v>608</v>
      </c>
      <c r="C3" s="9">
        <v>27883</v>
      </c>
      <c r="D3" t="s">
        <v>265</v>
      </c>
      <c r="E3">
        <v>200</v>
      </c>
      <c r="F3">
        <v>3</v>
      </c>
    </row>
    <row r="4" spans="1:6" x14ac:dyDescent="0.25">
      <c r="A4" t="s">
        <v>609</v>
      </c>
      <c r="B4" t="s">
        <v>610</v>
      </c>
      <c r="C4" s="9">
        <v>27883</v>
      </c>
      <c r="D4" t="s">
        <v>265</v>
      </c>
      <c r="E4">
        <v>225</v>
      </c>
      <c r="F4">
        <v>3</v>
      </c>
    </row>
    <row r="5" spans="1:6" x14ac:dyDescent="0.25">
      <c r="A5" t="s">
        <v>611</v>
      </c>
      <c r="B5" t="s">
        <v>612</v>
      </c>
      <c r="C5" s="9">
        <v>27883</v>
      </c>
      <c r="D5" t="s">
        <v>265</v>
      </c>
      <c r="E5">
        <v>250</v>
      </c>
      <c r="F5">
        <v>3</v>
      </c>
    </row>
    <row r="6" spans="1:6" x14ac:dyDescent="0.25">
      <c r="A6" t="s">
        <v>613</v>
      </c>
      <c r="B6" t="s">
        <v>596</v>
      </c>
      <c r="C6" s="9">
        <v>29188</v>
      </c>
      <c r="D6" t="s">
        <v>424</v>
      </c>
      <c r="E6">
        <v>125</v>
      </c>
      <c r="F6">
        <v>3</v>
      </c>
    </row>
    <row r="7" spans="1:6" x14ac:dyDescent="0.25">
      <c r="A7" t="s">
        <v>614</v>
      </c>
      <c r="B7" t="s">
        <v>561</v>
      </c>
      <c r="C7" s="9">
        <v>29188</v>
      </c>
      <c r="D7" t="s">
        <v>424</v>
      </c>
      <c r="E7">
        <v>150</v>
      </c>
      <c r="F7">
        <v>3</v>
      </c>
    </row>
    <row r="8" spans="1:6" x14ac:dyDescent="0.25">
      <c r="A8" t="s">
        <v>615</v>
      </c>
      <c r="B8" t="s">
        <v>616</v>
      </c>
      <c r="C8" s="9">
        <v>29188</v>
      </c>
      <c r="D8" t="s">
        <v>424</v>
      </c>
      <c r="E8">
        <v>175</v>
      </c>
      <c r="F8">
        <v>3</v>
      </c>
    </row>
    <row r="9" spans="1:6" x14ac:dyDescent="0.25">
      <c r="A9" t="s">
        <v>617</v>
      </c>
      <c r="B9" t="s">
        <v>618</v>
      </c>
      <c r="C9" s="9">
        <v>29188</v>
      </c>
      <c r="D9" t="s">
        <v>424</v>
      </c>
      <c r="E9">
        <v>200</v>
      </c>
      <c r="F9">
        <v>3</v>
      </c>
    </row>
    <row r="10" spans="1:6" x14ac:dyDescent="0.25">
      <c r="A10" t="s">
        <v>619</v>
      </c>
      <c r="B10" t="s">
        <v>620</v>
      </c>
      <c r="C10" s="9">
        <v>29188</v>
      </c>
      <c r="D10" t="s">
        <v>424</v>
      </c>
      <c r="E10">
        <v>225</v>
      </c>
      <c r="F10">
        <v>3</v>
      </c>
    </row>
    <row r="11" spans="1:6" x14ac:dyDescent="0.25">
      <c r="A11" t="s">
        <v>621</v>
      </c>
      <c r="B11" t="s">
        <v>622</v>
      </c>
      <c r="C11" s="9">
        <v>34583</v>
      </c>
      <c r="D11" t="s">
        <v>424</v>
      </c>
      <c r="E11">
        <v>250</v>
      </c>
      <c r="F11">
        <v>3</v>
      </c>
    </row>
    <row r="12" spans="1:6" x14ac:dyDescent="0.25">
      <c r="A12" t="s">
        <v>623</v>
      </c>
      <c r="B12" t="s">
        <v>596</v>
      </c>
      <c r="C12" s="9">
        <v>33702</v>
      </c>
      <c r="D12" t="s">
        <v>604</v>
      </c>
      <c r="E12">
        <v>125</v>
      </c>
      <c r="F12">
        <v>3</v>
      </c>
    </row>
    <row r="13" spans="1:6" x14ac:dyDescent="0.25">
      <c r="A13" t="s">
        <v>624</v>
      </c>
      <c r="B13" t="s">
        <v>561</v>
      </c>
      <c r="C13" s="9">
        <v>33702</v>
      </c>
      <c r="D13" t="s">
        <v>604</v>
      </c>
      <c r="E13">
        <v>150</v>
      </c>
      <c r="F13">
        <v>3</v>
      </c>
    </row>
    <row r="14" spans="1:6" x14ac:dyDescent="0.25">
      <c r="A14" t="s">
        <v>625</v>
      </c>
      <c r="B14" t="s">
        <v>626</v>
      </c>
      <c r="C14" s="9">
        <v>33702</v>
      </c>
      <c r="D14" t="s">
        <v>604</v>
      </c>
      <c r="E14">
        <v>175</v>
      </c>
      <c r="F14">
        <v>3</v>
      </c>
    </row>
    <row r="15" spans="1:6" x14ac:dyDescent="0.25">
      <c r="A15" t="s">
        <v>627</v>
      </c>
      <c r="B15" t="s">
        <v>628</v>
      </c>
      <c r="C15" s="9">
        <v>33702</v>
      </c>
      <c r="D15" t="s">
        <v>604</v>
      </c>
      <c r="E15">
        <v>200</v>
      </c>
      <c r="F15">
        <v>3</v>
      </c>
    </row>
    <row r="16" spans="1:6" x14ac:dyDescent="0.25">
      <c r="A16" t="s">
        <v>629</v>
      </c>
      <c r="B16" t="s">
        <v>630</v>
      </c>
      <c r="C16" s="9">
        <v>33702</v>
      </c>
      <c r="D16" t="s">
        <v>604</v>
      </c>
      <c r="E16">
        <v>225</v>
      </c>
      <c r="F16">
        <v>3</v>
      </c>
    </row>
    <row r="17" spans="1:6" x14ac:dyDescent="0.25">
      <c r="A17" t="s">
        <v>631</v>
      </c>
      <c r="B17" t="s">
        <v>632</v>
      </c>
      <c r="C17" s="9">
        <v>38183</v>
      </c>
      <c r="D17" t="s">
        <v>604</v>
      </c>
      <c r="E17">
        <v>250</v>
      </c>
      <c r="F17">
        <v>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291FE-1C80-46D5-A44B-ECDC4D68CA2E}">
  <dimension ref="A1:N54"/>
  <sheetViews>
    <sheetView topLeftCell="B1" zoomScale="87" workbookViewId="0">
      <selection activeCell="N2" sqref="N2:N54"/>
    </sheetView>
  </sheetViews>
  <sheetFormatPr defaultRowHeight="15" x14ac:dyDescent="0.25"/>
  <cols>
    <col min="1" max="1" width="19" bestFit="1" customWidth="1"/>
    <col min="2" max="2" width="57.140625" bestFit="1" customWidth="1"/>
    <col min="3" max="3" width="8.85546875" bestFit="1" customWidth="1"/>
    <col min="4" max="4" width="9.85546875" bestFit="1" customWidth="1"/>
    <col min="6" max="6" width="15.42578125" customWidth="1"/>
    <col min="7" max="7" width="12.140625" bestFit="1" customWidth="1"/>
    <col min="8" max="8" width="12.5703125" bestFit="1" customWidth="1"/>
    <col min="9" max="9" width="9.5703125" bestFit="1" customWidth="1"/>
    <col min="10" max="10" width="9.5703125" customWidth="1"/>
    <col min="14" max="14" width="8.85546875" style="19"/>
  </cols>
  <sheetData>
    <row r="1" spans="1:14" x14ac:dyDescent="0.25">
      <c r="A1" s="3" t="s">
        <v>0</v>
      </c>
      <c r="B1" s="3" t="s">
        <v>1</v>
      </c>
      <c r="C1" s="3" t="s">
        <v>421</v>
      </c>
      <c r="D1" s="3" t="s">
        <v>186</v>
      </c>
      <c r="E1" s="3" t="s">
        <v>214</v>
      </c>
      <c r="F1" s="3" t="s">
        <v>707</v>
      </c>
      <c r="G1" s="3" t="s">
        <v>680</v>
      </c>
      <c r="H1" s="3" t="s">
        <v>681</v>
      </c>
      <c r="I1" s="3" t="s">
        <v>679</v>
      </c>
      <c r="J1" s="3" t="s">
        <v>270</v>
      </c>
      <c r="K1" s="3" t="s">
        <v>204</v>
      </c>
      <c r="L1" s="3" t="s">
        <v>747</v>
      </c>
      <c r="M1" s="3" t="s">
        <v>2</v>
      </c>
      <c r="N1" s="23" t="s">
        <v>749</v>
      </c>
    </row>
    <row r="2" spans="1:14" x14ac:dyDescent="0.25">
      <c r="A2" t="s">
        <v>27</v>
      </c>
      <c r="B2" t="s">
        <v>28</v>
      </c>
      <c r="C2" t="s">
        <v>423</v>
      </c>
      <c r="D2" s="1" t="s">
        <v>183</v>
      </c>
      <c r="E2" t="s">
        <v>268</v>
      </c>
      <c r="F2" t="s">
        <v>713</v>
      </c>
      <c r="G2">
        <v>16</v>
      </c>
      <c r="H2">
        <v>50</v>
      </c>
      <c r="I2" t="s">
        <v>206</v>
      </c>
      <c r="J2">
        <v>3</v>
      </c>
      <c r="K2" t="s">
        <v>208</v>
      </c>
      <c r="L2" s="15">
        <v>482.47377740000002</v>
      </c>
      <c r="M2" s="2">
        <v>1361</v>
      </c>
      <c r="N2" s="19">
        <f>ROUND(((M2-L2)/M2), 4)</f>
        <v>0.64549999999999996</v>
      </c>
    </row>
    <row r="3" spans="1:14" x14ac:dyDescent="0.25">
      <c r="A3" t="s">
        <v>29</v>
      </c>
      <c r="B3" t="s">
        <v>30</v>
      </c>
      <c r="C3" t="s">
        <v>423</v>
      </c>
      <c r="D3" s="1" t="s">
        <v>183</v>
      </c>
      <c r="E3" t="s">
        <v>268</v>
      </c>
      <c r="F3" t="s">
        <v>713</v>
      </c>
      <c r="G3">
        <v>50</v>
      </c>
      <c r="H3">
        <v>100</v>
      </c>
      <c r="I3" t="s">
        <v>206</v>
      </c>
      <c r="J3">
        <v>3</v>
      </c>
      <c r="K3" t="s">
        <v>208</v>
      </c>
      <c r="L3" s="15">
        <v>932.78170571999999</v>
      </c>
      <c r="M3" s="2">
        <v>2014</v>
      </c>
      <c r="N3" s="19">
        <f t="shared" ref="N3:N54" si="0">ROUND(((M3-L3)/M3), 4)</f>
        <v>0.53690000000000004</v>
      </c>
    </row>
    <row r="4" spans="1:14" x14ac:dyDescent="0.25">
      <c r="A4" t="s">
        <v>31</v>
      </c>
      <c r="B4" t="s">
        <v>32</v>
      </c>
      <c r="C4" t="s">
        <v>423</v>
      </c>
      <c r="D4" s="1" t="s">
        <v>183</v>
      </c>
      <c r="E4" t="s">
        <v>268</v>
      </c>
      <c r="F4" t="s">
        <v>714</v>
      </c>
      <c r="G4">
        <v>125</v>
      </c>
      <c r="H4">
        <v>250</v>
      </c>
      <c r="I4" t="s">
        <v>206</v>
      </c>
      <c r="J4">
        <v>3</v>
      </c>
      <c r="K4" t="s">
        <v>208</v>
      </c>
      <c r="L4" s="15">
        <v>447.22770215000003</v>
      </c>
      <c r="M4" s="2">
        <v>1841</v>
      </c>
      <c r="N4" s="19">
        <f t="shared" si="0"/>
        <v>0.7571</v>
      </c>
    </row>
    <row r="5" spans="1:14" x14ac:dyDescent="0.25">
      <c r="A5" t="s">
        <v>33</v>
      </c>
      <c r="B5" t="s">
        <v>34</v>
      </c>
      <c r="C5" t="s">
        <v>423</v>
      </c>
      <c r="D5" s="1" t="s">
        <v>183</v>
      </c>
      <c r="E5" t="s">
        <v>268</v>
      </c>
      <c r="F5" t="s">
        <v>712</v>
      </c>
      <c r="G5">
        <v>250</v>
      </c>
      <c r="H5">
        <v>400</v>
      </c>
      <c r="I5" t="s">
        <v>207</v>
      </c>
      <c r="J5">
        <v>3</v>
      </c>
      <c r="K5" t="s">
        <v>209</v>
      </c>
      <c r="L5" s="15">
        <v>1454.9584616100001</v>
      </c>
      <c r="M5" s="2">
        <v>3347</v>
      </c>
      <c r="N5" s="19">
        <f t="shared" si="0"/>
        <v>0.56530000000000002</v>
      </c>
    </row>
    <row r="6" spans="1:14" x14ac:dyDescent="0.25">
      <c r="A6" t="s">
        <v>35</v>
      </c>
      <c r="B6" t="s">
        <v>36</v>
      </c>
      <c r="C6" t="s">
        <v>423</v>
      </c>
      <c r="D6" s="1" t="s">
        <v>183</v>
      </c>
      <c r="E6" t="s">
        <v>269</v>
      </c>
      <c r="F6" t="s">
        <v>708</v>
      </c>
      <c r="G6">
        <v>15</v>
      </c>
      <c r="H6">
        <v>225</v>
      </c>
      <c r="I6" t="s">
        <v>206</v>
      </c>
      <c r="J6">
        <v>3</v>
      </c>
      <c r="K6" t="s">
        <v>208</v>
      </c>
      <c r="L6" s="15">
        <v>557.61235199999999</v>
      </c>
      <c r="M6" s="2">
        <v>1317</v>
      </c>
      <c r="N6" s="19">
        <f t="shared" si="0"/>
        <v>0.5766</v>
      </c>
    </row>
    <row r="7" spans="1:14" x14ac:dyDescent="0.25">
      <c r="A7" t="s">
        <v>37</v>
      </c>
      <c r="B7" t="s">
        <v>38</v>
      </c>
      <c r="C7" t="s">
        <v>423</v>
      </c>
      <c r="D7" s="1" t="s">
        <v>183</v>
      </c>
      <c r="E7" t="s">
        <v>269</v>
      </c>
      <c r="F7" t="s">
        <v>708</v>
      </c>
      <c r="G7">
        <v>15</v>
      </c>
      <c r="H7">
        <v>225</v>
      </c>
      <c r="I7" t="s">
        <v>207</v>
      </c>
      <c r="J7">
        <v>3</v>
      </c>
      <c r="K7" t="s">
        <v>208</v>
      </c>
      <c r="L7" s="15">
        <v>574.74970440000004</v>
      </c>
      <c r="M7" s="2">
        <v>1479</v>
      </c>
      <c r="N7" s="19">
        <f t="shared" si="0"/>
        <v>0.61140000000000005</v>
      </c>
    </row>
    <row r="8" spans="1:14" x14ac:dyDescent="0.25">
      <c r="A8" t="s">
        <v>39</v>
      </c>
      <c r="B8" t="s">
        <v>40</v>
      </c>
      <c r="C8" t="s">
        <v>423</v>
      </c>
      <c r="D8" s="1" t="s">
        <v>183</v>
      </c>
      <c r="E8" t="s">
        <v>269</v>
      </c>
      <c r="F8" t="s">
        <v>709</v>
      </c>
      <c r="G8">
        <v>55</v>
      </c>
      <c r="H8">
        <v>600</v>
      </c>
      <c r="I8" t="s">
        <v>207</v>
      </c>
      <c r="J8">
        <v>3</v>
      </c>
      <c r="K8" t="s">
        <v>208</v>
      </c>
      <c r="L8" s="15">
        <v>1591.4067470499999</v>
      </c>
      <c r="M8" s="2">
        <v>5993</v>
      </c>
      <c r="N8" s="19">
        <f t="shared" si="0"/>
        <v>0.73450000000000004</v>
      </c>
    </row>
    <row r="9" spans="1:14" x14ac:dyDescent="0.25">
      <c r="A9" t="s">
        <v>41</v>
      </c>
      <c r="B9" t="s">
        <v>42</v>
      </c>
      <c r="C9" t="s">
        <v>423</v>
      </c>
      <c r="D9" s="1" t="s">
        <v>183</v>
      </c>
      <c r="E9" t="s">
        <v>215</v>
      </c>
      <c r="F9" t="s">
        <v>215</v>
      </c>
      <c r="G9">
        <v>15</v>
      </c>
      <c r="H9">
        <v>150</v>
      </c>
      <c r="I9" t="s">
        <v>206</v>
      </c>
      <c r="J9">
        <v>1</v>
      </c>
      <c r="K9" t="s">
        <v>210</v>
      </c>
      <c r="L9" s="15">
        <v>409.04771992000002</v>
      </c>
      <c r="M9" s="2">
        <v>852</v>
      </c>
      <c r="N9" s="19">
        <f t="shared" si="0"/>
        <v>0.51990000000000003</v>
      </c>
    </row>
    <row r="10" spans="1:14" x14ac:dyDescent="0.25">
      <c r="A10" t="s">
        <v>43</v>
      </c>
      <c r="B10" t="s">
        <v>44</v>
      </c>
      <c r="C10" t="s">
        <v>423</v>
      </c>
      <c r="D10" s="1" t="s">
        <v>183</v>
      </c>
      <c r="E10" t="s">
        <v>215</v>
      </c>
      <c r="F10" t="s">
        <v>215</v>
      </c>
      <c r="G10">
        <v>15</v>
      </c>
      <c r="H10">
        <v>150</v>
      </c>
      <c r="I10" t="s">
        <v>206</v>
      </c>
      <c r="J10">
        <v>2</v>
      </c>
      <c r="K10" t="s">
        <v>211</v>
      </c>
      <c r="L10" s="15">
        <v>451.34907949000001</v>
      </c>
      <c r="M10" s="2">
        <v>1124</v>
      </c>
      <c r="N10" s="19">
        <f t="shared" si="0"/>
        <v>0.59840000000000004</v>
      </c>
    </row>
    <row r="11" spans="1:14" x14ac:dyDescent="0.25">
      <c r="A11" t="s">
        <v>45</v>
      </c>
      <c r="B11" t="s">
        <v>46</v>
      </c>
      <c r="C11" t="s">
        <v>423</v>
      </c>
      <c r="D11" s="1" t="s">
        <v>183</v>
      </c>
      <c r="E11" t="s">
        <v>215</v>
      </c>
      <c r="F11" t="s">
        <v>215</v>
      </c>
      <c r="G11">
        <v>15</v>
      </c>
      <c r="H11">
        <v>225</v>
      </c>
      <c r="I11" t="s">
        <v>206</v>
      </c>
      <c r="J11">
        <v>3</v>
      </c>
      <c r="K11" t="s">
        <v>208</v>
      </c>
      <c r="L11" s="15">
        <v>608.40704625000001</v>
      </c>
      <c r="M11" s="2">
        <v>1667</v>
      </c>
      <c r="N11" s="19">
        <f t="shared" si="0"/>
        <v>0.63500000000000001</v>
      </c>
    </row>
    <row r="12" spans="1:14" x14ac:dyDescent="0.25">
      <c r="A12" t="s">
        <v>47</v>
      </c>
      <c r="B12" t="s">
        <v>48</v>
      </c>
      <c r="C12" t="s">
        <v>423</v>
      </c>
      <c r="D12" s="1" t="s">
        <v>183</v>
      </c>
      <c r="E12" t="s">
        <v>216</v>
      </c>
      <c r="F12" t="s">
        <v>216</v>
      </c>
      <c r="G12">
        <v>125</v>
      </c>
      <c r="H12">
        <v>250</v>
      </c>
      <c r="I12" t="s">
        <v>207</v>
      </c>
      <c r="J12">
        <v>3</v>
      </c>
      <c r="K12" t="s">
        <v>208</v>
      </c>
      <c r="L12" s="15">
        <v>319.31266763000002</v>
      </c>
      <c r="M12" s="2">
        <v>1124</v>
      </c>
      <c r="N12" s="19">
        <f t="shared" si="0"/>
        <v>0.71589999999999998</v>
      </c>
    </row>
    <row r="13" spans="1:14" x14ac:dyDescent="0.25">
      <c r="A13" t="s">
        <v>49</v>
      </c>
      <c r="B13" t="s">
        <v>50</v>
      </c>
      <c r="C13" t="s">
        <v>423</v>
      </c>
      <c r="D13" s="1" t="s">
        <v>183</v>
      </c>
      <c r="E13" t="s">
        <v>217</v>
      </c>
      <c r="F13" t="s">
        <v>217</v>
      </c>
      <c r="G13">
        <v>250</v>
      </c>
      <c r="H13">
        <v>400</v>
      </c>
      <c r="I13" t="s">
        <v>207</v>
      </c>
      <c r="J13">
        <v>3</v>
      </c>
      <c r="K13" t="s">
        <v>208</v>
      </c>
      <c r="L13" s="15">
        <v>1472.64885858</v>
      </c>
      <c r="M13" s="2">
        <v>3203</v>
      </c>
      <c r="N13" s="19">
        <f t="shared" si="0"/>
        <v>0.54020000000000001</v>
      </c>
    </row>
    <row r="14" spans="1:14" x14ac:dyDescent="0.25">
      <c r="A14" t="s">
        <v>51</v>
      </c>
      <c r="B14" t="s">
        <v>52</v>
      </c>
      <c r="C14" t="s">
        <v>423</v>
      </c>
      <c r="D14" s="1" t="s">
        <v>183</v>
      </c>
      <c r="E14" t="s">
        <v>218</v>
      </c>
      <c r="F14" t="s">
        <v>218</v>
      </c>
      <c r="G14">
        <v>400</v>
      </c>
      <c r="H14">
        <v>600</v>
      </c>
      <c r="I14" t="s">
        <v>207</v>
      </c>
      <c r="J14" s="14">
        <v>3</v>
      </c>
      <c r="K14" t="s">
        <v>684</v>
      </c>
      <c r="L14" s="15">
        <v>1717.4074827500001</v>
      </c>
      <c r="M14" s="2">
        <v>3763</v>
      </c>
      <c r="N14" s="19">
        <f t="shared" si="0"/>
        <v>0.54359999999999997</v>
      </c>
    </row>
    <row r="15" spans="1:14" x14ac:dyDescent="0.25">
      <c r="A15" t="s">
        <v>113</v>
      </c>
      <c r="B15" t="s">
        <v>114</v>
      </c>
      <c r="C15" t="s">
        <v>423</v>
      </c>
      <c r="D15" s="1" t="s">
        <v>184</v>
      </c>
      <c r="E15" t="s">
        <v>268</v>
      </c>
      <c r="F15" t="s">
        <v>713</v>
      </c>
      <c r="G15">
        <v>16</v>
      </c>
      <c r="H15">
        <v>100</v>
      </c>
      <c r="I15" t="s">
        <v>206</v>
      </c>
      <c r="J15">
        <v>3</v>
      </c>
      <c r="K15" t="s">
        <v>208</v>
      </c>
      <c r="L15" s="15">
        <v>939.21339971999998</v>
      </c>
      <c r="M15" s="2">
        <v>1893</v>
      </c>
      <c r="N15" s="19">
        <f t="shared" si="0"/>
        <v>0.50380000000000003</v>
      </c>
    </row>
    <row r="16" spans="1:14" x14ac:dyDescent="0.25">
      <c r="A16" t="s">
        <v>115</v>
      </c>
      <c r="B16" t="s">
        <v>116</v>
      </c>
      <c r="C16" t="s">
        <v>423</v>
      </c>
      <c r="D16" s="1" t="s">
        <v>184</v>
      </c>
      <c r="E16" t="s">
        <v>268</v>
      </c>
      <c r="F16" t="s">
        <v>714</v>
      </c>
      <c r="G16">
        <v>125</v>
      </c>
      <c r="H16">
        <v>250</v>
      </c>
      <c r="I16" t="s">
        <v>206</v>
      </c>
      <c r="J16">
        <v>3</v>
      </c>
      <c r="K16" t="s">
        <v>208</v>
      </c>
      <c r="L16" s="15">
        <v>464.44804414999999</v>
      </c>
      <c r="M16" s="2">
        <v>1673</v>
      </c>
      <c r="N16" s="19">
        <f t="shared" si="0"/>
        <v>0.72240000000000004</v>
      </c>
    </row>
    <row r="17" spans="1:14" x14ac:dyDescent="0.25">
      <c r="A17" t="s">
        <v>117</v>
      </c>
      <c r="B17" t="s">
        <v>118</v>
      </c>
      <c r="C17" t="s">
        <v>423</v>
      </c>
      <c r="D17" s="1" t="s">
        <v>184</v>
      </c>
      <c r="E17" t="s">
        <v>268</v>
      </c>
      <c r="F17" t="s">
        <v>714</v>
      </c>
      <c r="G17">
        <v>125</v>
      </c>
      <c r="H17">
        <v>250</v>
      </c>
      <c r="I17" t="s">
        <v>207</v>
      </c>
      <c r="J17">
        <v>3</v>
      </c>
      <c r="K17" t="s">
        <v>208</v>
      </c>
      <c r="L17" s="15">
        <v>435.22114112999998</v>
      </c>
      <c r="M17" s="2">
        <v>1640</v>
      </c>
      <c r="N17" s="19">
        <f t="shared" si="0"/>
        <v>0.73460000000000003</v>
      </c>
    </row>
    <row r="18" spans="1:14" x14ac:dyDescent="0.25">
      <c r="A18" t="s">
        <v>119</v>
      </c>
      <c r="B18" t="s">
        <v>120</v>
      </c>
      <c r="C18" t="s">
        <v>423</v>
      </c>
      <c r="D18" s="1" t="s">
        <v>184</v>
      </c>
      <c r="E18" t="s">
        <v>268</v>
      </c>
      <c r="F18" t="s">
        <v>712</v>
      </c>
      <c r="G18">
        <v>250</v>
      </c>
      <c r="H18">
        <v>400</v>
      </c>
      <c r="I18" t="s">
        <v>207</v>
      </c>
      <c r="J18">
        <v>3</v>
      </c>
      <c r="K18" t="s">
        <v>209</v>
      </c>
      <c r="L18" s="15">
        <v>1485.6646136100001</v>
      </c>
      <c r="M18" s="2">
        <v>3180</v>
      </c>
      <c r="N18" s="19">
        <f t="shared" si="0"/>
        <v>0.53280000000000005</v>
      </c>
    </row>
    <row r="19" spans="1:14" x14ac:dyDescent="0.25">
      <c r="A19" t="s">
        <v>121</v>
      </c>
      <c r="B19" t="s">
        <v>122</v>
      </c>
      <c r="C19" t="s">
        <v>423</v>
      </c>
      <c r="D19" s="1" t="s">
        <v>184</v>
      </c>
      <c r="E19" t="s">
        <v>269</v>
      </c>
      <c r="F19" t="s">
        <v>708</v>
      </c>
      <c r="G19">
        <v>15</v>
      </c>
      <c r="H19">
        <v>225</v>
      </c>
      <c r="I19" t="s">
        <v>206</v>
      </c>
      <c r="J19">
        <v>3</v>
      </c>
      <c r="K19" t="s">
        <v>208</v>
      </c>
      <c r="L19" s="15">
        <v>582.92417999999998</v>
      </c>
      <c r="M19" s="2">
        <v>1467</v>
      </c>
      <c r="N19" s="19">
        <f t="shared" si="0"/>
        <v>0.60260000000000002</v>
      </c>
    </row>
    <row r="20" spans="1:14" x14ac:dyDescent="0.25">
      <c r="A20" t="s">
        <v>123</v>
      </c>
      <c r="B20" t="s">
        <v>124</v>
      </c>
      <c r="C20" t="s">
        <v>423</v>
      </c>
      <c r="D20" s="1" t="s">
        <v>184</v>
      </c>
      <c r="E20" t="s">
        <v>269</v>
      </c>
      <c r="F20" t="s">
        <v>708</v>
      </c>
      <c r="G20">
        <v>15</v>
      </c>
      <c r="H20">
        <v>225</v>
      </c>
      <c r="I20" t="s">
        <v>207</v>
      </c>
      <c r="J20">
        <v>3</v>
      </c>
      <c r="K20" t="s">
        <v>208</v>
      </c>
      <c r="L20" s="15">
        <v>600.06153240000003</v>
      </c>
      <c r="M20" s="2">
        <v>1498</v>
      </c>
      <c r="N20" s="19">
        <f t="shared" si="0"/>
        <v>0.59940000000000004</v>
      </c>
    </row>
    <row r="21" spans="1:14" x14ac:dyDescent="0.25">
      <c r="A21" t="s">
        <v>125</v>
      </c>
      <c r="B21" t="s">
        <v>126</v>
      </c>
      <c r="C21" t="s">
        <v>423</v>
      </c>
      <c r="D21" s="1" t="s">
        <v>184</v>
      </c>
      <c r="E21" t="s">
        <v>269</v>
      </c>
      <c r="F21" t="s">
        <v>709</v>
      </c>
      <c r="G21">
        <v>55</v>
      </c>
      <c r="H21">
        <v>600</v>
      </c>
      <c r="I21" t="s">
        <v>206</v>
      </c>
      <c r="J21">
        <v>3</v>
      </c>
      <c r="K21" t="s">
        <v>209</v>
      </c>
      <c r="L21" s="15">
        <v>4147.6954781000004</v>
      </c>
      <c r="M21" s="2">
        <v>9432</v>
      </c>
      <c r="N21" s="19">
        <f t="shared" si="0"/>
        <v>0.56030000000000002</v>
      </c>
    </row>
    <row r="22" spans="1:14" x14ac:dyDescent="0.25">
      <c r="A22" t="s">
        <v>127</v>
      </c>
      <c r="B22" t="s">
        <v>128</v>
      </c>
      <c r="C22" t="s">
        <v>423</v>
      </c>
      <c r="D22" s="1" t="s">
        <v>184</v>
      </c>
      <c r="E22" t="s">
        <v>269</v>
      </c>
      <c r="F22" t="s">
        <v>709</v>
      </c>
      <c r="G22">
        <v>55</v>
      </c>
      <c r="H22">
        <v>600</v>
      </c>
      <c r="I22" t="s">
        <v>207</v>
      </c>
      <c r="J22">
        <v>3</v>
      </c>
      <c r="K22" t="s">
        <v>209</v>
      </c>
      <c r="L22" s="15">
        <v>1629.52954105</v>
      </c>
      <c r="M22" s="2">
        <v>6129</v>
      </c>
      <c r="N22" s="19">
        <f t="shared" si="0"/>
        <v>0.73409999999999997</v>
      </c>
    </row>
    <row r="23" spans="1:14" x14ac:dyDescent="0.25">
      <c r="A23" t="s">
        <v>129</v>
      </c>
      <c r="B23" t="s">
        <v>130</v>
      </c>
      <c r="C23" t="s">
        <v>423</v>
      </c>
      <c r="D23" s="1" t="s">
        <v>184</v>
      </c>
      <c r="E23" t="s">
        <v>269</v>
      </c>
      <c r="F23" t="s">
        <v>710</v>
      </c>
      <c r="G23">
        <v>300</v>
      </c>
      <c r="H23">
        <v>800</v>
      </c>
      <c r="I23" t="s">
        <v>207</v>
      </c>
      <c r="J23">
        <v>3</v>
      </c>
      <c r="K23" t="s">
        <v>684</v>
      </c>
      <c r="L23" s="15">
        <v>2940.7736020000002</v>
      </c>
      <c r="M23" s="2">
        <v>8433</v>
      </c>
      <c r="N23" s="19">
        <f t="shared" si="0"/>
        <v>0.65129999999999999</v>
      </c>
    </row>
    <row r="24" spans="1:14" x14ac:dyDescent="0.25">
      <c r="A24" t="s">
        <v>131</v>
      </c>
      <c r="B24" t="s">
        <v>132</v>
      </c>
      <c r="C24" t="s">
        <v>423</v>
      </c>
      <c r="D24" s="1" t="s">
        <v>184</v>
      </c>
      <c r="E24" t="s">
        <v>269</v>
      </c>
      <c r="F24" t="s">
        <v>711</v>
      </c>
      <c r="G24">
        <v>320</v>
      </c>
      <c r="H24">
        <v>1200</v>
      </c>
      <c r="I24" t="s">
        <v>207</v>
      </c>
      <c r="J24">
        <v>3</v>
      </c>
      <c r="K24" t="s">
        <v>684</v>
      </c>
      <c r="L24" s="15">
        <v>3142.0336673900001</v>
      </c>
      <c r="M24" s="2">
        <v>8543</v>
      </c>
      <c r="N24" s="19">
        <f t="shared" si="0"/>
        <v>0.63219999999999998</v>
      </c>
    </row>
    <row r="25" spans="1:14" x14ac:dyDescent="0.25">
      <c r="A25" t="s">
        <v>133</v>
      </c>
      <c r="B25" t="s">
        <v>134</v>
      </c>
      <c r="C25" t="s">
        <v>423</v>
      </c>
      <c r="D25" s="1" t="s">
        <v>184</v>
      </c>
      <c r="E25" t="s">
        <v>215</v>
      </c>
      <c r="F25" t="s">
        <v>215</v>
      </c>
      <c r="G25">
        <v>15</v>
      </c>
      <c r="H25">
        <v>150</v>
      </c>
      <c r="I25" t="s">
        <v>206</v>
      </c>
      <c r="J25">
        <v>1</v>
      </c>
      <c r="K25" t="s">
        <v>210</v>
      </c>
      <c r="L25" s="15">
        <v>401.23938634000001</v>
      </c>
      <c r="M25" s="2">
        <v>1281</v>
      </c>
      <c r="N25" s="19">
        <f t="shared" si="0"/>
        <v>0.68679999999999997</v>
      </c>
    </row>
    <row r="26" spans="1:14" x14ac:dyDescent="0.25">
      <c r="A26" t="s">
        <v>135</v>
      </c>
      <c r="B26" t="s">
        <v>136</v>
      </c>
      <c r="C26" t="s">
        <v>423</v>
      </c>
      <c r="D26" s="1" t="s">
        <v>184</v>
      </c>
      <c r="E26" t="s">
        <v>215</v>
      </c>
      <c r="F26" t="s">
        <v>215</v>
      </c>
      <c r="G26">
        <v>15</v>
      </c>
      <c r="H26">
        <v>150</v>
      </c>
      <c r="I26" t="s">
        <v>206</v>
      </c>
      <c r="J26">
        <v>2</v>
      </c>
      <c r="K26" t="s">
        <v>211</v>
      </c>
      <c r="L26" s="15">
        <v>610.11276808000002</v>
      </c>
      <c r="M26" s="2">
        <v>1377</v>
      </c>
      <c r="N26" s="19">
        <f t="shared" si="0"/>
        <v>0.55689999999999995</v>
      </c>
    </row>
    <row r="27" spans="1:14" x14ac:dyDescent="0.25">
      <c r="A27" t="s">
        <v>137</v>
      </c>
      <c r="B27" t="s">
        <v>138</v>
      </c>
      <c r="C27" t="s">
        <v>423</v>
      </c>
      <c r="D27" s="1" t="s">
        <v>184</v>
      </c>
      <c r="E27" t="s">
        <v>215</v>
      </c>
      <c r="F27" t="s">
        <v>215</v>
      </c>
      <c r="G27">
        <v>15</v>
      </c>
      <c r="H27">
        <v>225</v>
      </c>
      <c r="I27" t="s">
        <v>206</v>
      </c>
      <c r="J27">
        <v>3</v>
      </c>
      <c r="K27" t="s">
        <v>208</v>
      </c>
      <c r="L27" s="15">
        <v>850.37379644999999</v>
      </c>
      <c r="M27" s="2">
        <v>1895</v>
      </c>
      <c r="N27" s="19">
        <f t="shared" si="0"/>
        <v>0.55130000000000001</v>
      </c>
    </row>
    <row r="28" spans="1:14" x14ac:dyDescent="0.25">
      <c r="A28" t="s">
        <v>141</v>
      </c>
      <c r="B28" t="s">
        <v>142</v>
      </c>
      <c r="C28" t="s">
        <v>423</v>
      </c>
      <c r="D28" s="1" t="s">
        <v>184</v>
      </c>
      <c r="E28" t="s">
        <v>216</v>
      </c>
      <c r="F28" t="s">
        <v>216</v>
      </c>
      <c r="G28">
        <v>125</v>
      </c>
      <c r="H28">
        <v>250</v>
      </c>
      <c r="I28" t="s">
        <v>207</v>
      </c>
      <c r="J28">
        <v>3</v>
      </c>
      <c r="K28" t="s">
        <v>208</v>
      </c>
      <c r="L28" s="15">
        <v>418.23162293000001</v>
      </c>
      <c r="M28" s="2">
        <v>1342</v>
      </c>
      <c r="N28" s="19">
        <f t="shared" si="0"/>
        <v>0.68840000000000001</v>
      </c>
    </row>
    <row r="29" spans="1:14" x14ac:dyDescent="0.25">
      <c r="A29" t="s">
        <v>143</v>
      </c>
      <c r="B29" t="s">
        <v>144</v>
      </c>
      <c r="C29" t="s">
        <v>423</v>
      </c>
      <c r="D29" s="1" t="s">
        <v>184</v>
      </c>
      <c r="E29" t="s">
        <v>217</v>
      </c>
      <c r="F29" t="s">
        <v>217</v>
      </c>
      <c r="G29">
        <v>250</v>
      </c>
      <c r="H29">
        <v>400</v>
      </c>
      <c r="I29" t="s">
        <v>207</v>
      </c>
      <c r="J29">
        <v>3</v>
      </c>
      <c r="K29" t="s">
        <v>209</v>
      </c>
      <c r="L29" s="15">
        <v>1453.32870826</v>
      </c>
      <c r="M29" s="2">
        <v>3478</v>
      </c>
      <c r="N29" s="19">
        <f t="shared" si="0"/>
        <v>0.58209999999999995</v>
      </c>
    </row>
    <row r="30" spans="1:14" x14ac:dyDescent="0.25">
      <c r="A30" t="s">
        <v>145</v>
      </c>
      <c r="B30" t="s">
        <v>146</v>
      </c>
      <c r="C30" t="s">
        <v>423</v>
      </c>
      <c r="D30" s="1" t="s">
        <v>184</v>
      </c>
      <c r="E30" t="s">
        <v>218</v>
      </c>
      <c r="F30" t="s">
        <v>218</v>
      </c>
      <c r="G30">
        <v>400</v>
      </c>
      <c r="H30">
        <v>600</v>
      </c>
      <c r="I30" t="s">
        <v>207</v>
      </c>
      <c r="J30" s="14">
        <v>3</v>
      </c>
      <c r="K30" t="s">
        <v>684</v>
      </c>
      <c r="L30" s="15">
        <v>1706.1714061499999</v>
      </c>
      <c r="M30" s="2">
        <v>4009</v>
      </c>
      <c r="N30" s="19">
        <f t="shared" si="0"/>
        <v>0.57440000000000002</v>
      </c>
    </row>
    <row r="31" spans="1:14" x14ac:dyDescent="0.25">
      <c r="A31" t="s">
        <v>113</v>
      </c>
      <c r="B31" t="s">
        <v>114</v>
      </c>
      <c r="C31" t="s">
        <v>423</v>
      </c>
      <c r="D31" s="1" t="s">
        <v>185</v>
      </c>
      <c r="E31" t="s">
        <v>268</v>
      </c>
      <c r="F31" t="s">
        <v>713</v>
      </c>
      <c r="G31">
        <v>16</v>
      </c>
      <c r="H31">
        <v>100</v>
      </c>
      <c r="I31" t="s">
        <v>206</v>
      </c>
      <c r="J31">
        <v>3</v>
      </c>
      <c r="K31" t="s">
        <v>208</v>
      </c>
      <c r="L31" s="15">
        <v>939.21339971999998</v>
      </c>
      <c r="M31" s="2">
        <v>1893</v>
      </c>
      <c r="N31" s="19">
        <f t="shared" si="0"/>
        <v>0.50380000000000003</v>
      </c>
    </row>
    <row r="32" spans="1:14" x14ac:dyDescent="0.25">
      <c r="A32" t="s">
        <v>115</v>
      </c>
      <c r="B32" t="s">
        <v>116</v>
      </c>
      <c r="C32" t="s">
        <v>423</v>
      </c>
      <c r="D32" s="1" t="s">
        <v>185</v>
      </c>
      <c r="E32" t="s">
        <v>268</v>
      </c>
      <c r="F32" t="s">
        <v>714</v>
      </c>
      <c r="G32">
        <v>125</v>
      </c>
      <c r="H32">
        <v>250</v>
      </c>
      <c r="I32" t="s">
        <v>206</v>
      </c>
      <c r="J32">
        <v>3</v>
      </c>
      <c r="K32" t="s">
        <v>208</v>
      </c>
      <c r="L32" s="15">
        <v>464.44804414999999</v>
      </c>
      <c r="M32" s="2">
        <v>1673</v>
      </c>
      <c r="N32" s="19">
        <f t="shared" si="0"/>
        <v>0.72240000000000004</v>
      </c>
    </row>
    <row r="33" spans="1:14" x14ac:dyDescent="0.25">
      <c r="A33" t="s">
        <v>117</v>
      </c>
      <c r="B33" t="s">
        <v>118</v>
      </c>
      <c r="C33" t="s">
        <v>423</v>
      </c>
      <c r="D33" s="1" t="s">
        <v>185</v>
      </c>
      <c r="E33" t="s">
        <v>268</v>
      </c>
      <c r="F33" t="s">
        <v>714</v>
      </c>
      <c r="G33">
        <v>125</v>
      </c>
      <c r="H33">
        <v>250</v>
      </c>
      <c r="I33" t="s">
        <v>207</v>
      </c>
      <c r="J33">
        <v>3</v>
      </c>
      <c r="K33" t="s">
        <v>208</v>
      </c>
      <c r="L33" s="15">
        <v>435.22114112999998</v>
      </c>
      <c r="M33" s="2">
        <v>1640</v>
      </c>
      <c r="N33" s="19">
        <f t="shared" si="0"/>
        <v>0.73460000000000003</v>
      </c>
    </row>
    <row r="34" spans="1:14" x14ac:dyDescent="0.25">
      <c r="A34" t="s">
        <v>119</v>
      </c>
      <c r="B34" t="s">
        <v>120</v>
      </c>
      <c r="C34" t="s">
        <v>423</v>
      </c>
      <c r="D34" s="1" t="s">
        <v>185</v>
      </c>
      <c r="E34" t="s">
        <v>268</v>
      </c>
      <c r="F34" t="s">
        <v>712</v>
      </c>
      <c r="G34">
        <v>250</v>
      </c>
      <c r="H34">
        <v>400</v>
      </c>
      <c r="I34" t="s">
        <v>207</v>
      </c>
      <c r="J34">
        <v>3</v>
      </c>
      <c r="K34" t="s">
        <v>209</v>
      </c>
      <c r="L34" s="15">
        <v>1485.6646136100001</v>
      </c>
      <c r="M34" s="2">
        <v>3180</v>
      </c>
      <c r="N34" s="19">
        <f t="shared" si="0"/>
        <v>0.53280000000000005</v>
      </c>
    </row>
    <row r="35" spans="1:14" x14ac:dyDescent="0.25">
      <c r="A35" t="s">
        <v>121</v>
      </c>
      <c r="B35" t="s">
        <v>122</v>
      </c>
      <c r="C35" t="s">
        <v>423</v>
      </c>
      <c r="D35" s="1" t="s">
        <v>185</v>
      </c>
      <c r="E35" t="s">
        <v>269</v>
      </c>
      <c r="F35" t="s">
        <v>708</v>
      </c>
      <c r="G35">
        <v>15</v>
      </c>
      <c r="H35">
        <v>225</v>
      </c>
      <c r="I35" t="s">
        <v>206</v>
      </c>
      <c r="J35">
        <v>3</v>
      </c>
      <c r="K35" t="s">
        <v>208</v>
      </c>
      <c r="L35" s="15">
        <v>582.92417999999998</v>
      </c>
      <c r="M35" s="2">
        <v>1467</v>
      </c>
      <c r="N35" s="19">
        <f t="shared" si="0"/>
        <v>0.60260000000000002</v>
      </c>
    </row>
    <row r="36" spans="1:14" x14ac:dyDescent="0.25">
      <c r="A36" t="s">
        <v>123</v>
      </c>
      <c r="B36" t="s">
        <v>124</v>
      </c>
      <c r="C36" t="s">
        <v>423</v>
      </c>
      <c r="D36" s="1" t="s">
        <v>185</v>
      </c>
      <c r="E36" t="s">
        <v>269</v>
      </c>
      <c r="F36" t="s">
        <v>708</v>
      </c>
      <c r="G36">
        <v>15</v>
      </c>
      <c r="H36">
        <v>225</v>
      </c>
      <c r="I36" t="s">
        <v>207</v>
      </c>
      <c r="J36">
        <v>3</v>
      </c>
      <c r="K36" t="s">
        <v>208</v>
      </c>
      <c r="L36" s="15">
        <v>600.06153240000003</v>
      </c>
      <c r="M36" s="2">
        <v>1498</v>
      </c>
      <c r="N36" s="19">
        <f t="shared" si="0"/>
        <v>0.59940000000000004</v>
      </c>
    </row>
    <row r="37" spans="1:14" x14ac:dyDescent="0.25">
      <c r="A37" t="s">
        <v>125</v>
      </c>
      <c r="B37" t="s">
        <v>126</v>
      </c>
      <c r="C37" t="s">
        <v>423</v>
      </c>
      <c r="D37" s="1" t="s">
        <v>185</v>
      </c>
      <c r="E37" t="s">
        <v>269</v>
      </c>
      <c r="F37" t="s">
        <v>709</v>
      </c>
      <c r="G37">
        <v>55</v>
      </c>
      <c r="H37">
        <v>600</v>
      </c>
      <c r="I37" t="s">
        <v>206</v>
      </c>
      <c r="J37">
        <v>3</v>
      </c>
      <c r="K37" t="s">
        <v>209</v>
      </c>
      <c r="L37" s="15">
        <v>4147.6954781000004</v>
      </c>
      <c r="M37" s="2">
        <v>9432</v>
      </c>
      <c r="N37" s="19">
        <f t="shared" si="0"/>
        <v>0.56030000000000002</v>
      </c>
    </row>
    <row r="38" spans="1:14" x14ac:dyDescent="0.25">
      <c r="A38" t="s">
        <v>127</v>
      </c>
      <c r="B38" t="s">
        <v>128</v>
      </c>
      <c r="C38" t="s">
        <v>423</v>
      </c>
      <c r="D38" s="1" t="s">
        <v>185</v>
      </c>
      <c r="E38" t="s">
        <v>269</v>
      </c>
      <c r="F38" t="s">
        <v>709</v>
      </c>
      <c r="G38">
        <v>55</v>
      </c>
      <c r="H38">
        <v>600</v>
      </c>
      <c r="I38" t="s">
        <v>207</v>
      </c>
      <c r="J38">
        <v>3</v>
      </c>
      <c r="K38" t="s">
        <v>209</v>
      </c>
      <c r="L38" s="15">
        <v>1629.52954105</v>
      </c>
      <c r="M38" s="2">
        <v>6129</v>
      </c>
      <c r="N38" s="19">
        <f t="shared" si="0"/>
        <v>0.73409999999999997</v>
      </c>
    </row>
    <row r="39" spans="1:14" x14ac:dyDescent="0.25">
      <c r="A39" t="s">
        <v>129</v>
      </c>
      <c r="B39" t="s">
        <v>130</v>
      </c>
      <c r="C39" t="s">
        <v>423</v>
      </c>
      <c r="D39" s="1" t="s">
        <v>185</v>
      </c>
      <c r="E39" t="s">
        <v>269</v>
      </c>
      <c r="F39" t="s">
        <v>710</v>
      </c>
      <c r="G39">
        <v>300</v>
      </c>
      <c r="H39">
        <v>800</v>
      </c>
      <c r="I39" t="s">
        <v>207</v>
      </c>
      <c r="J39">
        <v>3</v>
      </c>
      <c r="K39" t="s">
        <v>684</v>
      </c>
      <c r="L39" s="15">
        <v>2940.7736020000002</v>
      </c>
      <c r="M39" s="2">
        <v>8433</v>
      </c>
      <c r="N39" s="19">
        <f t="shared" si="0"/>
        <v>0.65129999999999999</v>
      </c>
    </row>
    <row r="40" spans="1:14" x14ac:dyDescent="0.25">
      <c r="A40" t="s">
        <v>131</v>
      </c>
      <c r="B40" t="s">
        <v>132</v>
      </c>
      <c r="C40" t="s">
        <v>423</v>
      </c>
      <c r="D40" s="1" t="s">
        <v>185</v>
      </c>
      <c r="E40" t="s">
        <v>269</v>
      </c>
      <c r="F40" t="s">
        <v>711</v>
      </c>
      <c r="G40">
        <v>320</v>
      </c>
      <c r="H40">
        <v>1200</v>
      </c>
      <c r="I40" t="s">
        <v>207</v>
      </c>
      <c r="J40">
        <v>3</v>
      </c>
      <c r="K40" t="s">
        <v>684</v>
      </c>
      <c r="L40" s="15">
        <v>3142.0336673900001</v>
      </c>
      <c r="M40" s="2">
        <v>8543</v>
      </c>
      <c r="N40" s="19">
        <f t="shared" si="0"/>
        <v>0.63219999999999998</v>
      </c>
    </row>
    <row r="41" spans="1:14" x14ac:dyDescent="0.25">
      <c r="A41" t="s">
        <v>133</v>
      </c>
      <c r="B41" t="s">
        <v>134</v>
      </c>
      <c r="C41" t="s">
        <v>423</v>
      </c>
      <c r="D41" s="1" t="s">
        <v>185</v>
      </c>
      <c r="E41" t="s">
        <v>215</v>
      </c>
      <c r="F41" t="s">
        <v>215</v>
      </c>
      <c r="G41">
        <v>15</v>
      </c>
      <c r="H41">
        <v>150</v>
      </c>
      <c r="I41" t="s">
        <v>206</v>
      </c>
      <c r="J41">
        <v>1</v>
      </c>
      <c r="K41" t="s">
        <v>210</v>
      </c>
      <c r="L41" s="15">
        <v>401.23938634000001</v>
      </c>
      <c r="M41" s="2">
        <v>1281</v>
      </c>
      <c r="N41" s="19">
        <f t="shared" si="0"/>
        <v>0.68679999999999997</v>
      </c>
    </row>
    <row r="42" spans="1:14" x14ac:dyDescent="0.25">
      <c r="A42" t="s">
        <v>135</v>
      </c>
      <c r="B42" t="s">
        <v>136</v>
      </c>
      <c r="C42" t="s">
        <v>423</v>
      </c>
      <c r="D42" s="1" t="s">
        <v>185</v>
      </c>
      <c r="E42" t="s">
        <v>215</v>
      </c>
      <c r="F42" t="s">
        <v>215</v>
      </c>
      <c r="G42">
        <v>15</v>
      </c>
      <c r="H42">
        <v>225</v>
      </c>
      <c r="I42" t="s">
        <v>206</v>
      </c>
      <c r="J42">
        <v>2</v>
      </c>
      <c r="K42" t="s">
        <v>211</v>
      </c>
      <c r="L42" s="15">
        <v>610.11276808000002</v>
      </c>
      <c r="M42" s="2">
        <v>1377</v>
      </c>
      <c r="N42" s="19">
        <f t="shared" si="0"/>
        <v>0.55689999999999995</v>
      </c>
    </row>
    <row r="43" spans="1:14" x14ac:dyDescent="0.25">
      <c r="A43" t="s">
        <v>137</v>
      </c>
      <c r="B43" t="s">
        <v>138</v>
      </c>
      <c r="C43" t="s">
        <v>423</v>
      </c>
      <c r="D43" s="1" t="s">
        <v>185</v>
      </c>
      <c r="E43" t="s">
        <v>215</v>
      </c>
      <c r="F43" t="s">
        <v>215</v>
      </c>
      <c r="G43">
        <v>15</v>
      </c>
      <c r="H43">
        <v>225</v>
      </c>
      <c r="I43" t="s">
        <v>206</v>
      </c>
      <c r="J43">
        <v>3</v>
      </c>
      <c r="K43" t="s">
        <v>208</v>
      </c>
      <c r="L43" s="15">
        <v>850.37379644999999</v>
      </c>
      <c r="M43" s="2">
        <v>1895</v>
      </c>
      <c r="N43" s="19">
        <f t="shared" si="0"/>
        <v>0.55130000000000001</v>
      </c>
    </row>
    <row r="44" spans="1:14" x14ac:dyDescent="0.25">
      <c r="A44" t="s">
        <v>141</v>
      </c>
      <c r="B44" t="s">
        <v>142</v>
      </c>
      <c r="C44" t="s">
        <v>423</v>
      </c>
      <c r="D44" s="1" t="s">
        <v>185</v>
      </c>
      <c r="E44" t="s">
        <v>216</v>
      </c>
      <c r="F44" t="s">
        <v>216</v>
      </c>
      <c r="G44">
        <v>125</v>
      </c>
      <c r="H44">
        <v>250</v>
      </c>
      <c r="I44" t="s">
        <v>207</v>
      </c>
      <c r="J44">
        <v>3</v>
      </c>
      <c r="K44" t="s">
        <v>208</v>
      </c>
      <c r="L44" s="15">
        <v>418.23162293000001</v>
      </c>
      <c r="M44" s="2">
        <v>1342</v>
      </c>
      <c r="N44" s="19">
        <f t="shared" si="0"/>
        <v>0.68840000000000001</v>
      </c>
    </row>
    <row r="45" spans="1:14" x14ac:dyDescent="0.25">
      <c r="A45" t="s">
        <v>143</v>
      </c>
      <c r="B45" t="s">
        <v>144</v>
      </c>
      <c r="C45" t="s">
        <v>423</v>
      </c>
      <c r="D45" s="1" t="s">
        <v>185</v>
      </c>
      <c r="E45" t="s">
        <v>217</v>
      </c>
      <c r="F45" t="s">
        <v>217</v>
      </c>
      <c r="G45">
        <v>250</v>
      </c>
      <c r="H45">
        <v>400</v>
      </c>
      <c r="I45" t="s">
        <v>207</v>
      </c>
      <c r="J45">
        <v>3</v>
      </c>
      <c r="K45" t="s">
        <v>209</v>
      </c>
      <c r="L45" s="15">
        <v>1453.32870826</v>
      </c>
      <c r="M45" s="2">
        <v>3478</v>
      </c>
      <c r="N45" s="19">
        <f t="shared" si="0"/>
        <v>0.58209999999999995</v>
      </c>
    </row>
    <row r="46" spans="1:14" x14ac:dyDescent="0.25">
      <c r="A46" t="s">
        <v>145</v>
      </c>
      <c r="B46" t="s">
        <v>146</v>
      </c>
      <c r="C46" t="s">
        <v>423</v>
      </c>
      <c r="D46" s="1" t="s">
        <v>185</v>
      </c>
      <c r="E46" t="s">
        <v>218</v>
      </c>
      <c r="F46" t="s">
        <v>218</v>
      </c>
      <c r="G46">
        <v>400</v>
      </c>
      <c r="H46">
        <v>600</v>
      </c>
      <c r="I46" t="s">
        <v>207</v>
      </c>
      <c r="J46" s="14">
        <v>3</v>
      </c>
      <c r="K46" t="s">
        <v>684</v>
      </c>
      <c r="L46" s="15">
        <v>1706.1714061499999</v>
      </c>
      <c r="M46" s="2">
        <v>4009</v>
      </c>
      <c r="N46" s="19">
        <f t="shared" si="0"/>
        <v>0.57440000000000002</v>
      </c>
    </row>
    <row r="47" spans="1:14" x14ac:dyDescent="0.25">
      <c r="A47" t="s">
        <v>33</v>
      </c>
      <c r="B47" t="s">
        <v>34</v>
      </c>
      <c r="C47" t="s">
        <v>423</v>
      </c>
      <c r="D47" s="1" t="s">
        <v>195</v>
      </c>
      <c r="E47" t="s">
        <v>268</v>
      </c>
      <c r="F47" t="s">
        <v>712</v>
      </c>
      <c r="G47">
        <v>250</v>
      </c>
      <c r="H47">
        <v>400</v>
      </c>
      <c r="I47" t="s">
        <v>207</v>
      </c>
      <c r="J47">
        <v>3</v>
      </c>
      <c r="K47" t="s">
        <v>209</v>
      </c>
      <c r="L47" s="15">
        <v>1454.9584616100001</v>
      </c>
      <c r="M47" s="2">
        <v>3347</v>
      </c>
      <c r="N47" s="19">
        <f t="shared" si="0"/>
        <v>0.56530000000000002</v>
      </c>
    </row>
    <row r="48" spans="1:14" x14ac:dyDescent="0.25">
      <c r="A48" t="s">
        <v>39</v>
      </c>
      <c r="B48" t="s">
        <v>40</v>
      </c>
      <c r="C48" t="s">
        <v>423</v>
      </c>
      <c r="D48" s="1" t="s">
        <v>195</v>
      </c>
      <c r="E48" t="s">
        <v>269</v>
      </c>
      <c r="F48" t="s">
        <v>709</v>
      </c>
      <c r="G48">
        <v>55</v>
      </c>
      <c r="H48">
        <v>600</v>
      </c>
      <c r="I48" t="s">
        <v>207</v>
      </c>
      <c r="J48">
        <v>3</v>
      </c>
      <c r="K48" t="s">
        <v>209</v>
      </c>
      <c r="L48" s="15">
        <v>1591.4067470499999</v>
      </c>
      <c r="M48" s="2">
        <v>5993</v>
      </c>
      <c r="N48" s="19">
        <f t="shared" si="0"/>
        <v>0.73450000000000004</v>
      </c>
    </row>
    <row r="49" spans="1:14" x14ac:dyDescent="0.25">
      <c r="A49" t="s">
        <v>49</v>
      </c>
      <c r="B49" t="s">
        <v>50</v>
      </c>
      <c r="C49" t="s">
        <v>423</v>
      </c>
      <c r="D49" s="1" t="s">
        <v>195</v>
      </c>
      <c r="E49" t="s">
        <v>217</v>
      </c>
      <c r="F49" t="s">
        <v>217</v>
      </c>
      <c r="G49">
        <v>250</v>
      </c>
      <c r="H49">
        <v>400</v>
      </c>
      <c r="I49" t="s">
        <v>207</v>
      </c>
      <c r="J49">
        <v>3</v>
      </c>
      <c r="K49" t="s">
        <v>209</v>
      </c>
      <c r="L49" s="15">
        <v>1472.64885858</v>
      </c>
      <c r="M49" s="2">
        <v>3203</v>
      </c>
      <c r="N49" s="19">
        <f t="shared" si="0"/>
        <v>0.54020000000000001</v>
      </c>
    </row>
    <row r="50" spans="1:14" x14ac:dyDescent="0.25">
      <c r="A50" t="s">
        <v>129</v>
      </c>
      <c r="B50" t="s">
        <v>130</v>
      </c>
      <c r="C50" t="s">
        <v>423</v>
      </c>
      <c r="D50" s="1" t="s">
        <v>196</v>
      </c>
      <c r="E50" t="s">
        <v>269</v>
      </c>
      <c r="F50" t="s">
        <v>710</v>
      </c>
      <c r="G50">
        <v>300</v>
      </c>
      <c r="H50">
        <v>800</v>
      </c>
      <c r="I50" t="s">
        <v>207</v>
      </c>
      <c r="J50">
        <v>3</v>
      </c>
      <c r="K50" t="s">
        <v>684</v>
      </c>
      <c r="L50" s="15">
        <v>2940.7736020000002</v>
      </c>
      <c r="M50" s="2">
        <v>8433</v>
      </c>
      <c r="N50" s="19">
        <f t="shared" si="0"/>
        <v>0.65129999999999999</v>
      </c>
    </row>
    <row r="51" spans="1:14" x14ac:dyDescent="0.25">
      <c r="A51" t="s">
        <v>129</v>
      </c>
      <c r="B51" t="s">
        <v>130</v>
      </c>
      <c r="C51" t="s">
        <v>423</v>
      </c>
      <c r="D51" s="1" t="s">
        <v>197</v>
      </c>
      <c r="E51" t="s">
        <v>269</v>
      </c>
      <c r="F51" t="s">
        <v>710</v>
      </c>
      <c r="G51">
        <v>300</v>
      </c>
      <c r="H51">
        <v>800</v>
      </c>
      <c r="I51" t="s">
        <v>207</v>
      </c>
      <c r="J51">
        <v>3</v>
      </c>
      <c r="K51" t="s">
        <v>684</v>
      </c>
      <c r="L51" s="15">
        <v>2940.7736020000002</v>
      </c>
      <c r="M51" s="2">
        <v>8433</v>
      </c>
      <c r="N51" s="19">
        <f t="shared" si="0"/>
        <v>0.65129999999999999</v>
      </c>
    </row>
    <row r="52" spans="1:14" x14ac:dyDescent="0.25">
      <c r="A52" t="s">
        <v>49</v>
      </c>
      <c r="B52" t="s">
        <v>50</v>
      </c>
      <c r="C52" t="s">
        <v>423</v>
      </c>
      <c r="D52" s="1" t="s">
        <v>196</v>
      </c>
      <c r="E52" t="s">
        <v>217</v>
      </c>
      <c r="F52" t="s">
        <v>217</v>
      </c>
      <c r="G52">
        <v>250</v>
      </c>
      <c r="H52">
        <v>400</v>
      </c>
      <c r="I52" t="s">
        <v>207</v>
      </c>
      <c r="J52">
        <v>3</v>
      </c>
      <c r="K52" t="s">
        <v>209</v>
      </c>
      <c r="L52" s="15">
        <v>1453.32870826</v>
      </c>
      <c r="M52" s="2">
        <v>3203</v>
      </c>
      <c r="N52" s="19">
        <f t="shared" si="0"/>
        <v>0.54630000000000001</v>
      </c>
    </row>
    <row r="53" spans="1:14" x14ac:dyDescent="0.25">
      <c r="A53" t="s">
        <v>51</v>
      </c>
      <c r="B53" t="s">
        <v>52</v>
      </c>
      <c r="C53" t="s">
        <v>423</v>
      </c>
      <c r="D53" s="1" t="s">
        <v>195</v>
      </c>
      <c r="E53" t="s">
        <v>218</v>
      </c>
      <c r="F53" t="s">
        <v>218</v>
      </c>
      <c r="G53">
        <v>400</v>
      </c>
      <c r="H53">
        <v>600</v>
      </c>
      <c r="I53" t="s">
        <v>207</v>
      </c>
      <c r="J53" s="14">
        <v>3</v>
      </c>
      <c r="K53" t="s">
        <v>684</v>
      </c>
      <c r="L53" s="15">
        <v>1717.4074827500001</v>
      </c>
      <c r="M53" s="2">
        <v>3763</v>
      </c>
      <c r="N53" s="19">
        <f t="shared" si="0"/>
        <v>0.54359999999999997</v>
      </c>
    </row>
    <row r="54" spans="1:14" x14ac:dyDescent="0.25">
      <c r="A54" t="s">
        <v>145</v>
      </c>
      <c r="B54" t="s">
        <v>146</v>
      </c>
      <c r="C54" t="s">
        <v>423</v>
      </c>
      <c r="D54" s="1" t="s">
        <v>196</v>
      </c>
      <c r="E54" t="s">
        <v>218</v>
      </c>
      <c r="F54" t="s">
        <v>218</v>
      </c>
      <c r="G54">
        <v>400</v>
      </c>
      <c r="H54">
        <v>600</v>
      </c>
      <c r="I54" t="s">
        <v>207</v>
      </c>
      <c r="J54" s="14">
        <v>3</v>
      </c>
      <c r="K54" t="s">
        <v>684</v>
      </c>
      <c r="L54" s="15">
        <v>1706.1714061499999</v>
      </c>
      <c r="M54" s="2">
        <v>4009</v>
      </c>
      <c r="N54" s="19">
        <f t="shared" si="0"/>
        <v>0.57440000000000002</v>
      </c>
    </row>
  </sheetData>
  <autoFilter ref="A1:M54" xr:uid="{4F7291FE-1C80-46D5-A44B-ECDC4D68CA2E}"/>
  <phoneticPr fontId="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91415-7327-4CFF-B229-D7F54ABBDB32}">
  <dimension ref="A1:F2"/>
  <sheetViews>
    <sheetView workbookViewId="0">
      <selection activeCell="F1" sqref="F1:F1048576"/>
    </sheetView>
  </sheetViews>
  <sheetFormatPr defaultRowHeight="15" x14ac:dyDescent="0.25"/>
  <cols>
    <col min="1" max="1" width="11.5703125" bestFit="1" customWidth="1"/>
    <col min="2" max="2" width="30.42578125" bestFit="1" customWidth="1"/>
    <col min="3" max="3" width="18.85546875" bestFit="1" customWidth="1"/>
    <col min="4" max="4" width="18.85546875" customWidth="1"/>
    <col min="6" max="6" width="8.85546875" style="19"/>
  </cols>
  <sheetData>
    <row r="1" spans="1:6" s="6" customFormat="1" x14ac:dyDescent="0.25">
      <c r="A1" s="6" t="s">
        <v>0</v>
      </c>
      <c r="B1" s="6" t="s">
        <v>1</v>
      </c>
      <c r="C1" s="6" t="s">
        <v>187</v>
      </c>
      <c r="D1" s="6" t="s">
        <v>747</v>
      </c>
      <c r="E1" s="6" t="s">
        <v>2</v>
      </c>
      <c r="F1" s="24" t="s">
        <v>749</v>
      </c>
    </row>
    <row r="2" spans="1:6" x14ac:dyDescent="0.25">
      <c r="A2" t="s">
        <v>169</v>
      </c>
      <c r="B2" t="s">
        <v>170</v>
      </c>
      <c r="C2" t="s">
        <v>191</v>
      </c>
      <c r="D2" s="15">
        <v>2390.90365053</v>
      </c>
      <c r="E2" s="2">
        <v>6691</v>
      </c>
      <c r="F2" s="19">
        <f>ROUND(((E2-D2)/E2), 4)</f>
        <v>0.64270000000000005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22428-B4D4-43A2-8ABC-2052B8318014}">
  <dimension ref="A1:F2"/>
  <sheetViews>
    <sheetView workbookViewId="0">
      <selection activeCell="F1" sqref="F1:F1048576"/>
    </sheetView>
  </sheetViews>
  <sheetFormatPr defaultRowHeight="15" x14ac:dyDescent="0.25"/>
  <cols>
    <col min="1" max="1" width="10.5703125" bestFit="1" customWidth="1"/>
    <col min="2" max="2" width="30.5703125" bestFit="1" customWidth="1"/>
    <col min="3" max="4" width="30.5703125" customWidth="1"/>
    <col min="6" max="6" width="8.85546875" style="19"/>
  </cols>
  <sheetData>
    <row r="1" spans="1:6" s="6" customFormat="1" x14ac:dyDescent="0.25">
      <c r="A1" s="6" t="s">
        <v>0</v>
      </c>
      <c r="B1" s="6" t="s">
        <v>1</v>
      </c>
      <c r="C1" s="6" t="s">
        <v>187</v>
      </c>
      <c r="D1" s="6" t="s">
        <v>747</v>
      </c>
      <c r="E1" s="6" t="s">
        <v>2</v>
      </c>
      <c r="F1" s="24" t="s">
        <v>749</v>
      </c>
    </row>
    <row r="2" spans="1:6" x14ac:dyDescent="0.25">
      <c r="A2" t="s">
        <v>167</v>
      </c>
      <c r="B2" t="s">
        <v>168</v>
      </c>
      <c r="C2" t="s">
        <v>191</v>
      </c>
      <c r="D2" s="15">
        <v>784.92747799999995</v>
      </c>
      <c r="E2" s="2">
        <v>6196</v>
      </c>
      <c r="F2" s="19">
        <f>ROUND(((E2-D2)/E2), 4)</f>
        <v>0.87329999999999997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5EDD5-EC5E-4B4D-BAE8-EF24A4D32E1E}">
  <dimension ref="A1:F2"/>
  <sheetViews>
    <sheetView workbookViewId="0">
      <selection activeCell="G7" sqref="G7"/>
    </sheetView>
  </sheetViews>
  <sheetFormatPr defaultRowHeight="15" x14ac:dyDescent="0.25"/>
  <cols>
    <col min="1" max="1" width="10.5703125" bestFit="1" customWidth="1"/>
    <col min="2" max="2" width="30.5703125" bestFit="1" customWidth="1"/>
    <col min="3" max="3" width="18.85546875" bestFit="1" customWidth="1"/>
    <col min="4" max="4" width="18.85546875" customWidth="1"/>
    <col min="5" max="5" width="6.5703125" bestFit="1" customWidth="1"/>
    <col min="6" max="6" width="8.85546875" style="19"/>
  </cols>
  <sheetData>
    <row r="1" spans="1:6" s="6" customFormat="1" x14ac:dyDescent="0.25">
      <c r="A1" s="6" t="s">
        <v>0</v>
      </c>
      <c r="B1" s="6" t="s">
        <v>1</v>
      </c>
      <c r="C1" s="6" t="s">
        <v>187</v>
      </c>
      <c r="D1" s="6" t="s">
        <v>747</v>
      </c>
      <c r="E1" s="6" t="s">
        <v>2</v>
      </c>
      <c r="F1" s="24" t="s">
        <v>749</v>
      </c>
    </row>
    <row r="2" spans="1:6" x14ac:dyDescent="0.25">
      <c r="A2" t="s">
        <v>165</v>
      </c>
      <c r="B2" t="s">
        <v>166</v>
      </c>
      <c r="C2" t="s">
        <v>191</v>
      </c>
      <c r="D2" s="15">
        <v>902.62109453999994</v>
      </c>
      <c r="E2" s="2">
        <v>2518</v>
      </c>
      <c r="F2" s="19">
        <f>ROUND(((E2-D2)/E2), 4)</f>
        <v>0.64149999999999996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72381-812D-42EC-84BC-3CAA921F011E}">
  <dimension ref="A1:G93"/>
  <sheetViews>
    <sheetView workbookViewId="0">
      <selection activeCell="F1" sqref="F1"/>
    </sheetView>
  </sheetViews>
  <sheetFormatPr defaultRowHeight="15" x14ac:dyDescent="0.25"/>
  <cols>
    <col min="1" max="1" width="12.5703125" customWidth="1"/>
    <col min="2" max="2" width="57.5703125" customWidth="1"/>
    <col min="3" max="3" width="12.140625" bestFit="1" customWidth="1"/>
    <col min="6" max="6" width="12.85546875" customWidth="1"/>
  </cols>
  <sheetData>
    <row r="1" spans="1:7" s="3" customFormat="1" x14ac:dyDescent="0.25">
      <c r="A1" s="3" t="s">
        <v>0</v>
      </c>
      <c r="B1" s="3" t="s">
        <v>1</v>
      </c>
      <c r="C1" s="3" t="s">
        <v>2</v>
      </c>
      <c r="D1" s="3" t="s">
        <v>263</v>
      </c>
      <c r="E1" s="3" t="s">
        <v>204</v>
      </c>
      <c r="F1" s="3" t="s">
        <v>205</v>
      </c>
      <c r="G1" s="3" t="s">
        <v>270</v>
      </c>
    </row>
    <row r="2" spans="1:7" x14ac:dyDescent="0.25">
      <c r="A2" t="s">
        <v>425</v>
      </c>
      <c r="B2" t="s">
        <v>426</v>
      </c>
      <c r="C2" s="9">
        <v>5474</v>
      </c>
      <c r="D2" t="s">
        <v>265</v>
      </c>
      <c r="E2">
        <v>0</v>
      </c>
      <c r="F2">
        <v>15</v>
      </c>
      <c r="G2">
        <v>2</v>
      </c>
    </row>
    <row r="3" spans="1:7" x14ac:dyDescent="0.25">
      <c r="A3" t="s">
        <v>427</v>
      </c>
      <c r="B3" t="s">
        <v>428</v>
      </c>
      <c r="C3" s="9">
        <v>5474</v>
      </c>
      <c r="D3" t="s">
        <v>265</v>
      </c>
      <c r="E3">
        <v>0</v>
      </c>
      <c r="F3">
        <v>20</v>
      </c>
      <c r="G3">
        <v>2</v>
      </c>
    </row>
    <row r="4" spans="1:7" x14ac:dyDescent="0.25">
      <c r="A4" t="s">
        <v>429</v>
      </c>
      <c r="B4" t="s">
        <v>437</v>
      </c>
      <c r="C4" s="9">
        <v>5474</v>
      </c>
      <c r="D4" t="s">
        <v>265</v>
      </c>
      <c r="E4">
        <v>0</v>
      </c>
      <c r="F4">
        <v>30</v>
      </c>
      <c r="G4">
        <v>2</v>
      </c>
    </row>
    <row r="5" spans="1:7" x14ac:dyDescent="0.25">
      <c r="A5" t="s">
        <v>430</v>
      </c>
      <c r="B5" t="s">
        <v>438</v>
      </c>
      <c r="C5" s="9">
        <v>5474</v>
      </c>
      <c r="D5" t="s">
        <v>265</v>
      </c>
      <c r="E5">
        <v>0</v>
      </c>
      <c r="F5">
        <v>40</v>
      </c>
      <c r="G5">
        <v>2</v>
      </c>
    </row>
    <row r="6" spans="1:7" x14ac:dyDescent="0.25">
      <c r="A6" t="s">
        <v>431</v>
      </c>
      <c r="B6" t="s">
        <v>439</v>
      </c>
      <c r="C6" s="9">
        <v>5474</v>
      </c>
      <c r="D6" t="s">
        <v>265</v>
      </c>
      <c r="E6">
        <v>0</v>
      </c>
      <c r="F6">
        <v>50</v>
      </c>
      <c r="G6">
        <v>2</v>
      </c>
    </row>
    <row r="7" spans="1:7" x14ac:dyDescent="0.25">
      <c r="A7" t="s">
        <v>432</v>
      </c>
      <c r="B7" t="s">
        <v>440</v>
      </c>
      <c r="C7" s="9">
        <v>5474</v>
      </c>
      <c r="D7" t="s">
        <v>265</v>
      </c>
      <c r="E7">
        <v>0</v>
      </c>
      <c r="F7">
        <v>60</v>
      </c>
      <c r="G7">
        <v>2</v>
      </c>
    </row>
    <row r="8" spans="1:7" x14ac:dyDescent="0.25">
      <c r="A8" t="s">
        <v>433</v>
      </c>
      <c r="B8" t="s">
        <v>441</v>
      </c>
      <c r="C8" s="9">
        <v>7444</v>
      </c>
      <c r="D8" t="s">
        <v>265</v>
      </c>
      <c r="E8">
        <v>0</v>
      </c>
      <c r="F8">
        <v>70</v>
      </c>
      <c r="G8">
        <v>2</v>
      </c>
    </row>
    <row r="9" spans="1:7" x14ac:dyDescent="0.25">
      <c r="A9" t="s">
        <v>434</v>
      </c>
      <c r="B9" t="s">
        <v>442</v>
      </c>
      <c r="C9" s="9">
        <v>7444</v>
      </c>
      <c r="D9" t="s">
        <v>265</v>
      </c>
      <c r="E9">
        <v>0</v>
      </c>
      <c r="F9">
        <v>80</v>
      </c>
      <c r="G9">
        <v>2</v>
      </c>
    </row>
    <row r="10" spans="1:7" x14ac:dyDescent="0.25">
      <c r="A10" t="s">
        <v>435</v>
      </c>
      <c r="B10" t="s">
        <v>443</v>
      </c>
      <c r="C10" s="9">
        <v>7461</v>
      </c>
      <c r="D10" t="s">
        <v>265</v>
      </c>
      <c r="E10">
        <v>0</v>
      </c>
      <c r="F10">
        <v>90</v>
      </c>
      <c r="G10">
        <v>2</v>
      </c>
    </row>
    <row r="11" spans="1:7" x14ac:dyDescent="0.25">
      <c r="A11" t="s">
        <v>436</v>
      </c>
      <c r="B11" t="s">
        <v>444</v>
      </c>
      <c r="C11" s="9">
        <v>9452</v>
      </c>
      <c r="D11" t="s">
        <v>265</v>
      </c>
      <c r="E11">
        <v>1</v>
      </c>
      <c r="F11">
        <v>100</v>
      </c>
      <c r="G11">
        <v>2</v>
      </c>
    </row>
    <row r="12" spans="1:7" x14ac:dyDescent="0.25">
      <c r="A12" t="s">
        <v>445</v>
      </c>
      <c r="B12" t="s">
        <v>451</v>
      </c>
      <c r="C12" s="9">
        <v>9452</v>
      </c>
      <c r="D12" t="s">
        <v>265</v>
      </c>
      <c r="E12">
        <v>1</v>
      </c>
      <c r="F12">
        <v>125</v>
      </c>
      <c r="G12">
        <v>2</v>
      </c>
    </row>
    <row r="13" spans="1:7" x14ac:dyDescent="0.25">
      <c r="A13" t="s">
        <v>446</v>
      </c>
      <c r="B13" t="s">
        <v>452</v>
      </c>
      <c r="C13" s="9">
        <v>9452</v>
      </c>
      <c r="D13" t="s">
        <v>265</v>
      </c>
      <c r="E13">
        <v>1</v>
      </c>
      <c r="F13">
        <v>150</v>
      </c>
      <c r="G13">
        <v>2</v>
      </c>
    </row>
    <row r="14" spans="1:7" x14ac:dyDescent="0.25">
      <c r="A14" t="s">
        <v>447</v>
      </c>
      <c r="B14" t="s">
        <v>453</v>
      </c>
      <c r="C14" s="9">
        <v>9452</v>
      </c>
      <c r="D14" t="s">
        <v>265</v>
      </c>
      <c r="E14">
        <v>1</v>
      </c>
      <c r="F14">
        <v>175</v>
      </c>
      <c r="G14">
        <v>2</v>
      </c>
    </row>
    <row r="15" spans="1:7" x14ac:dyDescent="0.25">
      <c r="A15" t="s">
        <v>448</v>
      </c>
      <c r="B15" t="s">
        <v>454</v>
      </c>
      <c r="C15" s="9">
        <v>9452</v>
      </c>
      <c r="D15" t="s">
        <v>265</v>
      </c>
      <c r="E15">
        <v>2</v>
      </c>
      <c r="F15">
        <v>200</v>
      </c>
      <c r="G15">
        <v>2</v>
      </c>
    </row>
    <row r="16" spans="1:7" x14ac:dyDescent="0.25">
      <c r="A16" t="s">
        <v>449</v>
      </c>
      <c r="B16" t="s">
        <v>455</v>
      </c>
      <c r="C16" s="9">
        <v>8954</v>
      </c>
      <c r="D16" t="s">
        <v>265</v>
      </c>
      <c r="E16">
        <v>2</v>
      </c>
      <c r="F16">
        <v>225</v>
      </c>
      <c r="G16">
        <v>2</v>
      </c>
    </row>
    <row r="17" spans="1:7" x14ac:dyDescent="0.25">
      <c r="A17" t="s">
        <v>450</v>
      </c>
      <c r="B17" t="s">
        <v>456</v>
      </c>
      <c r="C17" s="9">
        <v>7337</v>
      </c>
      <c r="D17" t="s">
        <v>265</v>
      </c>
      <c r="E17">
        <v>0</v>
      </c>
      <c r="F17">
        <v>15</v>
      </c>
      <c r="G17">
        <v>3</v>
      </c>
    </row>
    <row r="18" spans="1:7" x14ac:dyDescent="0.25">
      <c r="A18" t="s">
        <v>457</v>
      </c>
      <c r="B18" t="s">
        <v>458</v>
      </c>
      <c r="C18" s="9">
        <v>7337</v>
      </c>
      <c r="D18" t="s">
        <v>265</v>
      </c>
      <c r="E18">
        <v>0</v>
      </c>
      <c r="F18">
        <v>20</v>
      </c>
      <c r="G18">
        <v>3</v>
      </c>
    </row>
    <row r="19" spans="1:7" x14ac:dyDescent="0.25">
      <c r="A19" t="s">
        <v>459</v>
      </c>
      <c r="B19" t="s">
        <v>460</v>
      </c>
      <c r="C19" s="9">
        <v>7337</v>
      </c>
      <c r="D19" t="s">
        <v>265</v>
      </c>
      <c r="E19">
        <v>0</v>
      </c>
      <c r="F19">
        <v>30</v>
      </c>
      <c r="G19">
        <v>3</v>
      </c>
    </row>
    <row r="20" spans="1:7" x14ac:dyDescent="0.25">
      <c r="A20" t="s">
        <v>461</v>
      </c>
      <c r="B20" t="s">
        <v>462</v>
      </c>
      <c r="C20" s="9">
        <v>7337</v>
      </c>
      <c r="D20" t="s">
        <v>265</v>
      </c>
      <c r="E20">
        <v>0</v>
      </c>
      <c r="F20">
        <v>40</v>
      </c>
      <c r="G20">
        <v>3</v>
      </c>
    </row>
    <row r="21" spans="1:7" x14ac:dyDescent="0.25">
      <c r="A21" t="s">
        <v>463</v>
      </c>
      <c r="B21" t="s">
        <v>465</v>
      </c>
      <c r="C21" s="9">
        <v>7337</v>
      </c>
      <c r="D21" t="s">
        <v>265</v>
      </c>
      <c r="E21">
        <v>0</v>
      </c>
      <c r="F21">
        <v>50</v>
      </c>
      <c r="G21">
        <v>3</v>
      </c>
    </row>
    <row r="22" spans="1:7" x14ac:dyDescent="0.25">
      <c r="A22" t="s">
        <v>464</v>
      </c>
      <c r="B22" t="s">
        <v>466</v>
      </c>
      <c r="C22" s="9">
        <v>7337</v>
      </c>
      <c r="D22" t="s">
        <v>265</v>
      </c>
      <c r="E22">
        <v>0</v>
      </c>
      <c r="F22">
        <v>60</v>
      </c>
      <c r="G22">
        <v>3</v>
      </c>
    </row>
    <row r="23" spans="1:7" x14ac:dyDescent="0.25">
      <c r="A23" t="s">
        <v>467</v>
      </c>
      <c r="B23" t="s">
        <v>470</v>
      </c>
      <c r="C23" s="9">
        <v>8440</v>
      </c>
      <c r="D23" t="s">
        <v>265</v>
      </c>
      <c r="E23">
        <v>0</v>
      </c>
      <c r="F23">
        <v>70</v>
      </c>
      <c r="G23">
        <v>3</v>
      </c>
    </row>
    <row r="24" spans="1:7" x14ac:dyDescent="0.25">
      <c r="A24" t="s">
        <v>468</v>
      </c>
      <c r="B24" t="s">
        <v>471</v>
      </c>
      <c r="C24" s="9">
        <v>8440</v>
      </c>
      <c r="D24" t="s">
        <v>265</v>
      </c>
      <c r="E24">
        <v>0</v>
      </c>
      <c r="F24">
        <v>80</v>
      </c>
      <c r="G24">
        <v>3</v>
      </c>
    </row>
    <row r="25" spans="1:7" x14ac:dyDescent="0.25">
      <c r="A25" t="s">
        <v>469</v>
      </c>
      <c r="B25" t="s">
        <v>472</v>
      </c>
      <c r="C25" s="9">
        <v>8441</v>
      </c>
      <c r="D25" t="s">
        <v>265</v>
      </c>
      <c r="E25">
        <v>0</v>
      </c>
      <c r="F25">
        <v>90</v>
      </c>
      <c r="G25">
        <v>3</v>
      </c>
    </row>
    <row r="26" spans="1:7" x14ac:dyDescent="0.25">
      <c r="A26" t="s">
        <v>473</v>
      </c>
      <c r="B26" t="s">
        <v>474</v>
      </c>
      <c r="C26" s="9">
        <v>8440</v>
      </c>
      <c r="D26" t="s">
        <v>265</v>
      </c>
      <c r="E26">
        <v>1</v>
      </c>
      <c r="F26">
        <v>100</v>
      </c>
      <c r="G26">
        <v>3</v>
      </c>
    </row>
    <row r="27" spans="1:7" x14ac:dyDescent="0.25">
      <c r="A27" t="s">
        <v>475</v>
      </c>
      <c r="B27" t="s">
        <v>476</v>
      </c>
      <c r="C27" s="9">
        <v>10659</v>
      </c>
      <c r="D27" t="s">
        <v>265</v>
      </c>
      <c r="E27">
        <v>1</v>
      </c>
      <c r="F27">
        <v>125</v>
      </c>
      <c r="G27">
        <v>3</v>
      </c>
    </row>
    <row r="28" spans="1:7" x14ac:dyDescent="0.25">
      <c r="A28" t="s">
        <v>477</v>
      </c>
      <c r="B28" t="s">
        <v>478</v>
      </c>
      <c r="C28" s="9">
        <v>10659</v>
      </c>
      <c r="D28" t="s">
        <v>265</v>
      </c>
      <c r="E28">
        <v>1</v>
      </c>
      <c r="F28">
        <v>150</v>
      </c>
      <c r="G28">
        <v>3</v>
      </c>
    </row>
    <row r="29" spans="1:7" x14ac:dyDescent="0.25">
      <c r="A29" t="s">
        <v>479</v>
      </c>
      <c r="B29" t="s">
        <v>481</v>
      </c>
      <c r="C29" s="9">
        <v>10659</v>
      </c>
      <c r="D29" t="s">
        <v>265</v>
      </c>
      <c r="E29">
        <v>1</v>
      </c>
      <c r="F29">
        <v>175</v>
      </c>
      <c r="G29">
        <v>3</v>
      </c>
    </row>
    <row r="30" spans="1:7" x14ac:dyDescent="0.25">
      <c r="A30" t="s">
        <v>480</v>
      </c>
      <c r="B30" t="s">
        <v>482</v>
      </c>
      <c r="C30" s="9">
        <v>11931</v>
      </c>
      <c r="D30" t="s">
        <v>265</v>
      </c>
      <c r="E30">
        <v>2</v>
      </c>
      <c r="F30">
        <v>200</v>
      </c>
      <c r="G30">
        <v>3</v>
      </c>
    </row>
    <row r="31" spans="1:7" x14ac:dyDescent="0.25">
      <c r="A31" t="s">
        <v>483</v>
      </c>
      <c r="B31" t="s">
        <v>484</v>
      </c>
      <c r="C31" s="9">
        <v>11336</v>
      </c>
      <c r="D31" t="s">
        <v>265</v>
      </c>
      <c r="E31">
        <v>2</v>
      </c>
      <c r="F31">
        <v>225</v>
      </c>
      <c r="G31">
        <v>3</v>
      </c>
    </row>
    <row r="32" spans="1:7" x14ac:dyDescent="0.25">
      <c r="A32" t="s">
        <v>485</v>
      </c>
      <c r="B32" t="s">
        <v>486</v>
      </c>
      <c r="C32" s="9">
        <v>2901</v>
      </c>
      <c r="D32" t="s">
        <v>424</v>
      </c>
      <c r="E32">
        <v>0</v>
      </c>
      <c r="F32">
        <v>15</v>
      </c>
      <c r="G32">
        <v>1</v>
      </c>
    </row>
    <row r="33" spans="1:7" x14ac:dyDescent="0.25">
      <c r="A33" t="s">
        <v>487</v>
      </c>
      <c r="B33" t="s">
        <v>489</v>
      </c>
      <c r="C33" s="9">
        <v>2901</v>
      </c>
      <c r="D33" t="s">
        <v>424</v>
      </c>
      <c r="E33">
        <v>0</v>
      </c>
      <c r="F33">
        <v>20</v>
      </c>
      <c r="G33">
        <v>1</v>
      </c>
    </row>
    <row r="34" spans="1:7" x14ac:dyDescent="0.25">
      <c r="A34" t="s">
        <v>488</v>
      </c>
      <c r="B34" t="s">
        <v>490</v>
      </c>
      <c r="C34" s="9">
        <v>2901</v>
      </c>
      <c r="D34" t="s">
        <v>424</v>
      </c>
      <c r="E34">
        <v>0</v>
      </c>
      <c r="F34">
        <v>30</v>
      </c>
      <c r="G34">
        <v>1</v>
      </c>
    </row>
    <row r="35" spans="1:7" x14ac:dyDescent="0.25">
      <c r="A35" t="s">
        <v>491</v>
      </c>
      <c r="B35" t="s">
        <v>492</v>
      </c>
      <c r="C35" s="9">
        <v>2901</v>
      </c>
      <c r="D35" t="s">
        <v>424</v>
      </c>
      <c r="E35">
        <v>0</v>
      </c>
      <c r="F35">
        <v>40</v>
      </c>
      <c r="G35">
        <v>1</v>
      </c>
    </row>
    <row r="36" spans="1:7" x14ac:dyDescent="0.25">
      <c r="A36" t="s">
        <v>493</v>
      </c>
      <c r="B36" t="s">
        <v>500</v>
      </c>
      <c r="C36" s="9">
        <v>2901</v>
      </c>
      <c r="D36" t="s">
        <v>424</v>
      </c>
      <c r="E36">
        <v>0</v>
      </c>
      <c r="F36">
        <v>50</v>
      </c>
      <c r="G36">
        <v>1</v>
      </c>
    </row>
    <row r="37" spans="1:7" x14ac:dyDescent="0.25">
      <c r="A37" t="s">
        <v>494</v>
      </c>
      <c r="B37" t="s">
        <v>501</v>
      </c>
      <c r="C37" s="9">
        <v>4094</v>
      </c>
      <c r="D37" t="s">
        <v>424</v>
      </c>
      <c r="E37">
        <v>0</v>
      </c>
      <c r="F37">
        <v>60</v>
      </c>
      <c r="G37">
        <v>1</v>
      </c>
    </row>
    <row r="38" spans="1:7" x14ac:dyDescent="0.25">
      <c r="A38" t="s">
        <v>495</v>
      </c>
      <c r="B38" t="s">
        <v>502</v>
      </c>
      <c r="C38" s="9">
        <v>4094</v>
      </c>
      <c r="D38" t="s">
        <v>424</v>
      </c>
      <c r="E38">
        <v>0</v>
      </c>
      <c r="F38">
        <v>70</v>
      </c>
      <c r="G38">
        <v>1</v>
      </c>
    </row>
    <row r="39" spans="1:7" x14ac:dyDescent="0.25">
      <c r="A39" t="s">
        <v>496</v>
      </c>
      <c r="B39" t="s">
        <v>503</v>
      </c>
      <c r="C39" s="9">
        <v>4094</v>
      </c>
      <c r="D39" t="s">
        <v>424</v>
      </c>
      <c r="E39">
        <v>0</v>
      </c>
      <c r="F39">
        <v>80</v>
      </c>
      <c r="G39">
        <v>1</v>
      </c>
    </row>
    <row r="40" spans="1:7" x14ac:dyDescent="0.25">
      <c r="A40" t="s">
        <v>497</v>
      </c>
      <c r="B40" t="s">
        <v>504</v>
      </c>
      <c r="C40" s="9">
        <v>4094</v>
      </c>
      <c r="D40" t="s">
        <v>424</v>
      </c>
      <c r="E40">
        <v>1</v>
      </c>
      <c r="F40">
        <v>100</v>
      </c>
      <c r="G40">
        <v>1</v>
      </c>
    </row>
    <row r="41" spans="1:7" x14ac:dyDescent="0.25">
      <c r="A41" t="s">
        <v>498</v>
      </c>
      <c r="B41" t="s">
        <v>505</v>
      </c>
      <c r="C41" s="9">
        <v>7756</v>
      </c>
      <c r="D41" t="s">
        <v>424</v>
      </c>
      <c r="E41">
        <v>1</v>
      </c>
      <c r="F41">
        <v>125</v>
      </c>
      <c r="G41">
        <v>1</v>
      </c>
    </row>
    <row r="42" spans="1:7" x14ac:dyDescent="0.25">
      <c r="A42" t="s">
        <v>499</v>
      </c>
      <c r="B42" t="s">
        <v>506</v>
      </c>
      <c r="C42" s="9">
        <v>7756</v>
      </c>
      <c r="D42" t="s">
        <v>424</v>
      </c>
      <c r="E42">
        <v>1</v>
      </c>
      <c r="F42">
        <v>150</v>
      </c>
      <c r="G42">
        <v>1</v>
      </c>
    </row>
    <row r="43" spans="1:7" x14ac:dyDescent="0.25">
      <c r="A43" t="s">
        <v>507</v>
      </c>
      <c r="B43" t="s">
        <v>508</v>
      </c>
      <c r="C43" s="9">
        <v>6848</v>
      </c>
      <c r="D43" t="s">
        <v>424</v>
      </c>
      <c r="E43">
        <v>0</v>
      </c>
      <c r="F43">
        <v>15</v>
      </c>
      <c r="G43">
        <v>2</v>
      </c>
    </row>
    <row r="44" spans="1:7" x14ac:dyDescent="0.25">
      <c r="A44" t="s">
        <v>509</v>
      </c>
      <c r="B44" t="s">
        <v>510</v>
      </c>
      <c r="C44" s="9">
        <v>6848</v>
      </c>
      <c r="D44" t="s">
        <v>424</v>
      </c>
      <c r="E44">
        <v>0</v>
      </c>
      <c r="F44">
        <v>20</v>
      </c>
      <c r="G44">
        <v>2</v>
      </c>
    </row>
    <row r="45" spans="1:7" x14ac:dyDescent="0.25">
      <c r="A45" t="s">
        <v>511</v>
      </c>
      <c r="B45" t="s">
        <v>512</v>
      </c>
      <c r="C45" s="9">
        <v>6848</v>
      </c>
      <c r="D45" t="s">
        <v>424</v>
      </c>
      <c r="E45">
        <v>0</v>
      </c>
      <c r="F45">
        <v>30</v>
      </c>
      <c r="G45">
        <v>2</v>
      </c>
    </row>
    <row r="46" spans="1:7" x14ac:dyDescent="0.25">
      <c r="A46" t="s">
        <v>513</v>
      </c>
      <c r="B46" t="s">
        <v>514</v>
      </c>
      <c r="C46" s="9">
        <v>6848</v>
      </c>
      <c r="D46" t="s">
        <v>424</v>
      </c>
      <c r="E46">
        <v>0</v>
      </c>
      <c r="F46">
        <v>40</v>
      </c>
      <c r="G46">
        <v>2</v>
      </c>
    </row>
    <row r="47" spans="1:7" x14ac:dyDescent="0.25">
      <c r="A47" t="s">
        <v>515</v>
      </c>
      <c r="B47" t="s">
        <v>520</v>
      </c>
      <c r="C47" s="9">
        <v>6848</v>
      </c>
      <c r="D47" t="s">
        <v>424</v>
      </c>
      <c r="E47">
        <v>0</v>
      </c>
      <c r="F47">
        <v>50</v>
      </c>
      <c r="G47">
        <v>2</v>
      </c>
    </row>
    <row r="48" spans="1:7" x14ac:dyDescent="0.25">
      <c r="A48" t="s">
        <v>516</v>
      </c>
      <c r="B48" t="s">
        <v>521</v>
      </c>
      <c r="C48" s="9">
        <v>6848</v>
      </c>
      <c r="D48" t="s">
        <v>424</v>
      </c>
      <c r="E48">
        <v>0</v>
      </c>
      <c r="F48">
        <v>60</v>
      </c>
      <c r="G48">
        <v>2</v>
      </c>
    </row>
    <row r="49" spans="1:7" x14ac:dyDescent="0.25">
      <c r="A49" t="s">
        <v>517</v>
      </c>
      <c r="B49" t="s">
        <v>522</v>
      </c>
      <c r="C49" s="9">
        <v>11409</v>
      </c>
      <c r="D49" t="s">
        <v>424</v>
      </c>
      <c r="E49">
        <v>0</v>
      </c>
      <c r="F49">
        <v>70</v>
      </c>
      <c r="G49">
        <v>2</v>
      </c>
    </row>
    <row r="50" spans="1:7" x14ac:dyDescent="0.25">
      <c r="A50" t="s">
        <v>518</v>
      </c>
      <c r="B50" t="s">
        <v>523</v>
      </c>
      <c r="C50" s="9">
        <v>11409</v>
      </c>
      <c r="D50" t="s">
        <v>424</v>
      </c>
      <c r="E50">
        <v>0</v>
      </c>
      <c r="F50">
        <v>80</v>
      </c>
      <c r="G50">
        <v>2</v>
      </c>
    </row>
    <row r="51" spans="1:7" x14ac:dyDescent="0.25">
      <c r="A51" t="s">
        <v>519</v>
      </c>
      <c r="B51" t="s">
        <v>524</v>
      </c>
      <c r="C51" s="9">
        <v>11409</v>
      </c>
      <c r="D51" t="s">
        <v>424</v>
      </c>
      <c r="E51">
        <v>0</v>
      </c>
      <c r="F51">
        <v>90</v>
      </c>
      <c r="G51">
        <v>2</v>
      </c>
    </row>
    <row r="52" spans="1:7" x14ac:dyDescent="0.25">
      <c r="A52" t="s">
        <v>525</v>
      </c>
      <c r="B52" t="s">
        <v>527</v>
      </c>
      <c r="C52" s="9">
        <v>11409</v>
      </c>
      <c r="D52" t="s">
        <v>424</v>
      </c>
      <c r="E52">
        <v>1</v>
      </c>
      <c r="F52">
        <v>100</v>
      </c>
      <c r="G52">
        <v>2</v>
      </c>
    </row>
    <row r="53" spans="1:7" x14ac:dyDescent="0.25">
      <c r="A53" t="s">
        <v>526</v>
      </c>
      <c r="B53" t="s">
        <v>528</v>
      </c>
      <c r="C53" s="9">
        <v>16085</v>
      </c>
      <c r="D53" t="s">
        <v>424</v>
      </c>
      <c r="E53">
        <v>1</v>
      </c>
      <c r="F53">
        <v>125</v>
      </c>
      <c r="G53">
        <v>2</v>
      </c>
    </row>
    <row r="54" spans="1:7" x14ac:dyDescent="0.25">
      <c r="A54" t="s">
        <v>529</v>
      </c>
      <c r="B54" t="s">
        <v>530</v>
      </c>
      <c r="C54" s="9">
        <v>16085</v>
      </c>
      <c r="D54" t="s">
        <v>424</v>
      </c>
      <c r="E54">
        <v>1</v>
      </c>
      <c r="F54">
        <v>150</v>
      </c>
      <c r="G54">
        <v>2</v>
      </c>
    </row>
    <row r="55" spans="1:7" x14ac:dyDescent="0.25">
      <c r="A55" t="s">
        <v>531</v>
      </c>
      <c r="B55" t="s">
        <v>534</v>
      </c>
      <c r="C55" s="9">
        <v>22309</v>
      </c>
      <c r="D55" t="s">
        <v>424</v>
      </c>
      <c r="E55">
        <v>1</v>
      </c>
      <c r="F55">
        <v>175</v>
      </c>
      <c r="G55">
        <v>2</v>
      </c>
    </row>
    <row r="56" spans="1:7" x14ac:dyDescent="0.25">
      <c r="A56" t="s">
        <v>532</v>
      </c>
      <c r="B56" t="s">
        <v>534</v>
      </c>
      <c r="C56" s="9">
        <v>22309</v>
      </c>
      <c r="D56" t="s">
        <v>424</v>
      </c>
      <c r="E56">
        <v>2</v>
      </c>
      <c r="F56">
        <v>200</v>
      </c>
      <c r="G56">
        <v>2</v>
      </c>
    </row>
    <row r="57" spans="1:7" x14ac:dyDescent="0.25">
      <c r="A57" t="s">
        <v>533</v>
      </c>
      <c r="B57" t="s">
        <v>534</v>
      </c>
      <c r="C57" s="9">
        <v>22309</v>
      </c>
      <c r="D57" t="s">
        <v>424</v>
      </c>
      <c r="E57">
        <v>2</v>
      </c>
      <c r="F57">
        <v>225</v>
      </c>
      <c r="G57">
        <v>2</v>
      </c>
    </row>
    <row r="58" spans="1:7" x14ac:dyDescent="0.25">
      <c r="A58" t="s">
        <v>535</v>
      </c>
      <c r="B58" t="s">
        <v>536</v>
      </c>
      <c r="C58" s="9">
        <v>10434</v>
      </c>
      <c r="D58" t="s">
        <v>424</v>
      </c>
      <c r="E58">
        <v>0</v>
      </c>
      <c r="F58">
        <v>15</v>
      </c>
      <c r="G58">
        <v>3</v>
      </c>
    </row>
    <row r="59" spans="1:7" x14ac:dyDescent="0.25">
      <c r="A59" t="s">
        <v>537</v>
      </c>
      <c r="B59" t="s">
        <v>538</v>
      </c>
      <c r="C59" s="9">
        <v>10434</v>
      </c>
      <c r="D59" t="s">
        <v>424</v>
      </c>
      <c r="E59">
        <v>0</v>
      </c>
      <c r="F59">
        <v>20</v>
      </c>
      <c r="G59">
        <v>3</v>
      </c>
    </row>
    <row r="60" spans="1:7" x14ac:dyDescent="0.25">
      <c r="A60" t="s">
        <v>539</v>
      </c>
      <c r="B60" t="s">
        <v>540</v>
      </c>
      <c r="C60" s="9">
        <v>10434</v>
      </c>
      <c r="D60" t="s">
        <v>424</v>
      </c>
      <c r="E60">
        <v>0</v>
      </c>
      <c r="F60">
        <v>30</v>
      </c>
      <c r="G60">
        <v>3</v>
      </c>
    </row>
    <row r="61" spans="1:7" x14ac:dyDescent="0.25">
      <c r="A61" t="s">
        <v>541</v>
      </c>
      <c r="B61" t="s">
        <v>542</v>
      </c>
      <c r="C61" s="9">
        <v>10434</v>
      </c>
      <c r="D61" t="s">
        <v>424</v>
      </c>
      <c r="E61">
        <v>0</v>
      </c>
      <c r="F61">
        <v>40</v>
      </c>
      <c r="G61">
        <v>3</v>
      </c>
    </row>
    <row r="62" spans="1:7" x14ac:dyDescent="0.25">
      <c r="A62" t="s">
        <v>543</v>
      </c>
      <c r="B62" t="s">
        <v>547</v>
      </c>
      <c r="C62" s="9">
        <v>10434</v>
      </c>
      <c r="D62" t="s">
        <v>424</v>
      </c>
      <c r="E62">
        <v>0</v>
      </c>
      <c r="F62">
        <v>50</v>
      </c>
      <c r="G62">
        <v>3</v>
      </c>
    </row>
    <row r="63" spans="1:7" x14ac:dyDescent="0.25">
      <c r="A63" t="s">
        <v>544</v>
      </c>
      <c r="B63" t="s">
        <v>548</v>
      </c>
      <c r="C63" s="9">
        <v>10434</v>
      </c>
      <c r="D63" t="s">
        <v>424</v>
      </c>
      <c r="E63">
        <v>0</v>
      </c>
      <c r="F63">
        <v>60</v>
      </c>
      <c r="G63">
        <v>3</v>
      </c>
    </row>
    <row r="64" spans="1:7" x14ac:dyDescent="0.25">
      <c r="A64" t="s">
        <v>545</v>
      </c>
      <c r="B64" t="s">
        <v>549</v>
      </c>
      <c r="C64" s="9">
        <v>12376</v>
      </c>
      <c r="D64" t="s">
        <v>424</v>
      </c>
      <c r="E64">
        <v>0</v>
      </c>
      <c r="F64">
        <v>70</v>
      </c>
      <c r="G64">
        <v>3</v>
      </c>
    </row>
    <row r="65" spans="1:7" x14ac:dyDescent="0.25">
      <c r="A65" t="s">
        <v>546</v>
      </c>
      <c r="B65" t="s">
        <v>550</v>
      </c>
      <c r="C65" s="9">
        <v>12376</v>
      </c>
      <c r="D65" t="s">
        <v>424</v>
      </c>
      <c r="E65">
        <v>0</v>
      </c>
      <c r="F65">
        <v>80</v>
      </c>
      <c r="G65">
        <v>3</v>
      </c>
    </row>
    <row r="66" spans="1:7" x14ac:dyDescent="0.25">
      <c r="A66" t="s">
        <v>551</v>
      </c>
      <c r="B66" t="s">
        <v>552</v>
      </c>
      <c r="C66" s="9">
        <v>12377</v>
      </c>
      <c r="D66" t="s">
        <v>424</v>
      </c>
      <c r="E66">
        <v>0</v>
      </c>
      <c r="F66">
        <v>90</v>
      </c>
      <c r="G66">
        <v>3</v>
      </c>
    </row>
    <row r="67" spans="1:7" x14ac:dyDescent="0.25">
      <c r="A67" t="s">
        <v>553</v>
      </c>
      <c r="B67" t="s">
        <v>554</v>
      </c>
      <c r="C67" s="9">
        <v>12376</v>
      </c>
      <c r="D67" t="s">
        <v>424</v>
      </c>
      <c r="E67">
        <v>1</v>
      </c>
      <c r="F67">
        <v>100</v>
      </c>
      <c r="G67">
        <v>3</v>
      </c>
    </row>
    <row r="68" spans="1:7" x14ac:dyDescent="0.25">
      <c r="A68" t="s">
        <v>555</v>
      </c>
      <c r="B68" t="s">
        <v>556</v>
      </c>
      <c r="C68" s="9">
        <v>17859</v>
      </c>
      <c r="D68" t="s">
        <v>424</v>
      </c>
      <c r="E68">
        <v>1</v>
      </c>
      <c r="F68">
        <v>125</v>
      </c>
      <c r="G68">
        <v>3</v>
      </c>
    </row>
    <row r="69" spans="1:7" x14ac:dyDescent="0.25">
      <c r="A69" t="s">
        <v>557</v>
      </c>
      <c r="B69" t="s">
        <v>561</v>
      </c>
      <c r="C69" s="9">
        <v>17859</v>
      </c>
      <c r="D69" t="s">
        <v>424</v>
      </c>
      <c r="E69">
        <v>1</v>
      </c>
      <c r="F69">
        <v>150</v>
      </c>
      <c r="G69">
        <v>3</v>
      </c>
    </row>
    <row r="70" spans="1:7" x14ac:dyDescent="0.25">
      <c r="A70" t="s">
        <v>558</v>
      </c>
      <c r="B70" t="s">
        <v>562</v>
      </c>
      <c r="C70" s="9">
        <v>24773</v>
      </c>
      <c r="D70" t="s">
        <v>424</v>
      </c>
      <c r="E70">
        <v>1</v>
      </c>
      <c r="F70">
        <v>175</v>
      </c>
      <c r="G70">
        <v>3</v>
      </c>
    </row>
    <row r="71" spans="1:7" x14ac:dyDescent="0.25">
      <c r="A71" t="s">
        <v>559</v>
      </c>
      <c r="B71" t="s">
        <v>562</v>
      </c>
      <c r="C71" s="9">
        <v>24773</v>
      </c>
      <c r="D71" t="s">
        <v>424</v>
      </c>
      <c r="E71">
        <v>2</v>
      </c>
      <c r="F71">
        <v>200</v>
      </c>
      <c r="G71">
        <v>3</v>
      </c>
    </row>
    <row r="72" spans="1:7" x14ac:dyDescent="0.25">
      <c r="A72" t="s">
        <v>560</v>
      </c>
      <c r="B72" t="s">
        <v>562</v>
      </c>
      <c r="C72" s="9">
        <v>24773</v>
      </c>
      <c r="D72" t="s">
        <v>424</v>
      </c>
      <c r="E72">
        <v>2</v>
      </c>
      <c r="F72">
        <v>225</v>
      </c>
      <c r="G72">
        <v>3</v>
      </c>
    </row>
    <row r="73" spans="1:7" x14ac:dyDescent="0.25">
      <c r="A73" t="s">
        <v>563</v>
      </c>
      <c r="B73" t="s">
        <v>568</v>
      </c>
      <c r="C73" s="9">
        <v>11000</v>
      </c>
      <c r="D73" t="s">
        <v>604</v>
      </c>
      <c r="E73">
        <v>0</v>
      </c>
      <c r="F73">
        <v>15</v>
      </c>
      <c r="G73">
        <v>2</v>
      </c>
    </row>
    <row r="74" spans="1:7" x14ac:dyDescent="0.25">
      <c r="A74" t="s">
        <v>564</v>
      </c>
      <c r="B74" t="s">
        <v>569</v>
      </c>
      <c r="C74" s="9">
        <v>11000</v>
      </c>
      <c r="D74" t="s">
        <v>604</v>
      </c>
      <c r="E74">
        <v>0</v>
      </c>
      <c r="F74">
        <v>20</v>
      </c>
      <c r="G74">
        <v>2</v>
      </c>
    </row>
    <row r="75" spans="1:7" x14ac:dyDescent="0.25">
      <c r="A75" t="s">
        <v>565</v>
      </c>
      <c r="B75" t="s">
        <v>570</v>
      </c>
      <c r="C75" s="9">
        <v>11000</v>
      </c>
      <c r="D75" t="s">
        <v>604</v>
      </c>
      <c r="E75">
        <v>0</v>
      </c>
      <c r="F75">
        <v>30</v>
      </c>
      <c r="G75">
        <v>2</v>
      </c>
    </row>
    <row r="76" spans="1:7" x14ac:dyDescent="0.25">
      <c r="A76" t="s">
        <v>566</v>
      </c>
      <c r="B76" t="s">
        <v>571</v>
      </c>
      <c r="C76" s="9">
        <v>11000</v>
      </c>
      <c r="D76" t="s">
        <v>604</v>
      </c>
      <c r="E76">
        <v>0</v>
      </c>
      <c r="F76">
        <v>40</v>
      </c>
      <c r="G76">
        <v>2</v>
      </c>
    </row>
    <row r="77" spans="1:7" x14ac:dyDescent="0.25">
      <c r="A77" t="s">
        <v>567</v>
      </c>
      <c r="B77" t="s">
        <v>572</v>
      </c>
      <c r="C77" s="9">
        <v>11000</v>
      </c>
      <c r="D77" t="s">
        <v>604</v>
      </c>
      <c r="E77">
        <v>0</v>
      </c>
      <c r="F77">
        <v>50</v>
      </c>
      <c r="G77">
        <v>2</v>
      </c>
    </row>
    <row r="78" spans="1:7" x14ac:dyDescent="0.25">
      <c r="A78" t="s">
        <v>573</v>
      </c>
      <c r="B78" t="s">
        <v>574</v>
      </c>
      <c r="C78" s="9">
        <v>14359</v>
      </c>
      <c r="D78" t="s">
        <v>604</v>
      </c>
      <c r="E78">
        <v>0</v>
      </c>
      <c r="F78">
        <v>70</v>
      </c>
      <c r="G78">
        <v>2</v>
      </c>
    </row>
    <row r="79" spans="1:7" x14ac:dyDescent="0.25">
      <c r="A79" t="s">
        <v>575</v>
      </c>
      <c r="B79" t="s">
        <v>578</v>
      </c>
      <c r="C79" s="9">
        <v>14359</v>
      </c>
      <c r="D79" t="s">
        <v>604</v>
      </c>
      <c r="E79">
        <v>1</v>
      </c>
      <c r="F79">
        <v>100</v>
      </c>
      <c r="G79">
        <v>2</v>
      </c>
    </row>
    <row r="80" spans="1:7" x14ac:dyDescent="0.25">
      <c r="A80" t="s">
        <v>576</v>
      </c>
      <c r="B80" t="s">
        <v>579</v>
      </c>
      <c r="C80" s="9">
        <v>22776</v>
      </c>
      <c r="D80" t="s">
        <v>604</v>
      </c>
      <c r="E80">
        <v>1</v>
      </c>
      <c r="F80">
        <v>125</v>
      </c>
      <c r="G80">
        <v>2</v>
      </c>
    </row>
    <row r="81" spans="1:7" x14ac:dyDescent="0.25">
      <c r="A81" t="s">
        <v>577</v>
      </c>
      <c r="B81" t="s">
        <v>580</v>
      </c>
      <c r="C81" s="9">
        <v>22776</v>
      </c>
      <c r="D81" t="s">
        <v>604</v>
      </c>
      <c r="E81">
        <v>1</v>
      </c>
      <c r="F81">
        <v>150</v>
      </c>
      <c r="G81">
        <v>2</v>
      </c>
    </row>
    <row r="82" spans="1:7" x14ac:dyDescent="0.25">
      <c r="A82" t="s">
        <v>581</v>
      </c>
      <c r="B82" t="s">
        <v>582</v>
      </c>
      <c r="C82" s="9">
        <v>15246</v>
      </c>
      <c r="D82" t="s">
        <v>604</v>
      </c>
      <c r="E82">
        <v>0</v>
      </c>
      <c r="F82">
        <v>15</v>
      </c>
      <c r="G82">
        <v>3</v>
      </c>
    </row>
    <row r="83" spans="1:7" x14ac:dyDescent="0.25">
      <c r="A83" t="s">
        <v>583</v>
      </c>
      <c r="B83" t="s">
        <v>584</v>
      </c>
      <c r="C83" s="9">
        <v>15246</v>
      </c>
      <c r="D83" t="s">
        <v>604</v>
      </c>
      <c r="E83">
        <v>0</v>
      </c>
      <c r="F83">
        <v>20</v>
      </c>
      <c r="G83">
        <v>3</v>
      </c>
    </row>
    <row r="84" spans="1:7" x14ac:dyDescent="0.25">
      <c r="A84" t="s">
        <v>585</v>
      </c>
      <c r="B84" t="s">
        <v>586</v>
      </c>
      <c r="C84" s="9">
        <v>15246</v>
      </c>
      <c r="D84" t="s">
        <v>604</v>
      </c>
      <c r="E84">
        <v>0</v>
      </c>
      <c r="F84">
        <v>30</v>
      </c>
      <c r="G84">
        <v>3</v>
      </c>
    </row>
    <row r="85" spans="1:7" x14ac:dyDescent="0.25">
      <c r="A85" t="s">
        <v>587</v>
      </c>
      <c r="B85" t="s">
        <v>588</v>
      </c>
      <c r="C85" s="9">
        <v>15246</v>
      </c>
      <c r="D85" t="s">
        <v>604</v>
      </c>
      <c r="E85">
        <v>0</v>
      </c>
      <c r="F85">
        <v>40</v>
      </c>
      <c r="G85">
        <v>3</v>
      </c>
    </row>
    <row r="86" spans="1:7" x14ac:dyDescent="0.25">
      <c r="A86" t="s">
        <v>589</v>
      </c>
      <c r="B86" t="s">
        <v>590</v>
      </c>
      <c r="C86" s="9">
        <v>15246</v>
      </c>
      <c r="D86" t="s">
        <v>604</v>
      </c>
      <c r="E86">
        <v>0</v>
      </c>
      <c r="F86">
        <v>50</v>
      </c>
      <c r="G86">
        <v>3</v>
      </c>
    </row>
    <row r="87" spans="1:7" x14ac:dyDescent="0.25">
      <c r="A87" t="s">
        <v>591</v>
      </c>
      <c r="B87" t="s">
        <v>592</v>
      </c>
      <c r="C87" s="9">
        <v>17835</v>
      </c>
      <c r="D87" t="s">
        <v>604</v>
      </c>
      <c r="E87">
        <v>0</v>
      </c>
      <c r="F87">
        <v>70</v>
      </c>
      <c r="G87">
        <v>3</v>
      </c>
    </row>
    <row r="88" spans="1:7" x14ac:dyDescent="0.25">
      <c r="A88" t="s">
        <v>593</v>
      </c>
      <c r="B88" t="s">
        <v>594</v>
      </c>
      <c r="C88" s="9">
        <v>17835</v>
      </c>
      <c r="D88" t="s">
        <v>604</v>
      </c>
      <c r="E88">
        <v>1</v>
      </c>
      <c r="F88">
        <v>100</v>
      </c>
      <c r="G88">
        <v>3</v>
      </c>
    </row>
    <row r="89" spans="1:7" x14ac:dyDescent="0.25">
      <c r="A89" t="s">
        <v>595</v>
      </c>
      <c r="B89" t="s">
        <v>596</v>
      </c>
      <c r="C89" s="9">
        <v>31818</v>
      </c>
      <c r="D89" t="s">
        <v>604</v>
      </c>
      <c r="E89">
        <v>1</v>
      </c>
      <c r="F89">
        <v>125</v>
      </c>
      <c r="G89">
        <v>3</v>
      </c>
    </row>
    <row r="90" spans="1:7" x14ac:dyDescent="0.25">
      <c r="A90" t="s">
        <v>597</v>
      </c>
      <c r="B90" t="s">
        <v>598</v>
      </c>
      <c r="C90" s="9">
        <v>31818</v>
      </c>
      <c r="D90" t="s">
        <v>604</v>
      </c>
      <c r="E90">
        <v>1</v>
      </c>
      <c r="F90">
        <v>150</v>
      </c>
      <c r="G90">
        <v>3</v>
      </c>
    </row>
    <row r="91" spans="1:7" x14ac:dyDescent="0.25">
      <c r="A91" t="s">
        <v>599</v>
      </c>
      <c r="B91" t="s">
        <v>602</v>
      </c>
      <c r="C91" s="9">
        <v>34095</v>
      </c>
      <c r="D91" t="s">
        <v>604</v>
      </c>
      <c r="E91">
        <v>1</v>
      </c>
      <c r="F91">
        <v>175</v>
      </c>
      <c r="G91">
        <v>3</v>
      </c>
    </row>
    <row r="92" spans="1:7" x14ac:dyDescent="0.25">
      <c r="A92" t="s">
        <v>600</v>
      </c>
      <c r="B92" t="s">
        <v>603</v>
      </c>
      <c r="C92" s="9">
        <v>34095</v>
      </c>
      <c r="D92" t="s">
        <v>604</v>
      </c>
      <c r="E92">
        <v>2</v>
      </c>
      <c r="F92">
        <v>200</v>
      </c>
      <c r="G92">
        <v>3</v>
      </c>
    </row>
    <row r="93" spans="1:7" x14ac:dyDescent="0.25">
      <c r="A93" t="s">
        <v>601</v>
      </c>
      <c r="B93" t="s">
        <v>602</v>
      </c>
      <c r="C93" s="9">
        <v>34095</v>
      </c>
      <c r="D93" t="s">
        <v>604</v>
      </c>
      <c r="E93">
        <v>2</v>
      </c>
      <c r="F93">
        <v>225</v>
      </c>
      <c r="G93">
        <v>3</v>
      </c>
    </row>
  </sheetData>
  <autoFilter ref="A1:G93" xr:uid="{F7C72381-812D-42EC-84BC-3CAA921F011E}"/>
  <phoneticPr fontId="3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280E8-1030-4D15-BB87-39545B71D8FE}">
  <dimension ref="A1:G3"/>
  <sheetViews>
    <sheetView workbookViewId="0">
      <selection activeCell="I5" sqref="I5"/>
    </sheetView>
  </sheetViews>
  <sheetFormatPr defaultRowHeight="15" x14ac:dyDescent="0.25"/>
  <cols>
    <col min="1" max="1" width="11.85546875" bestFit="1" customWidth="1"/>
    <col min="2" max="2" width="55.85546875" bestFit="1" customWidth="1"/>
    <col min="3" max="3" width="10.42578125" bestFit="1" customWidth="1"/>
    <col min="4" max="4" width="13.42578125" bestFit="1" customWidth="1"/>
    <col min="5" max="5" width="13.42578125" customWidth="1"/>
    <col min="7" max="7" width="8.85546875" style="19"/>
  </cols>
  <sheetData>
    <row r="1" spans="1:7" x14ac:dyDescent="0.25">
      <c r="A1" s="3" t="s">
        <v>0</v>
      </c>
      <c r="B1" s="3" t="s">
        <v>1</v>
      </c>
      <c r="C1" s="3" t="s">
        <v>186</v>
      </c>
      <c r="D1" s="3" t="s">
        <v>187</v>
      </c>
      <c r="E1" s="3" t="s">
        <v>747</v>
      </c>
      <c r="F1" s="3" t="s">
        <v>2</v>
      </c>
      <c r="G1" s="23" t="s">
        <v>749</v>
      </c>
    </row>
    <row r="2" spans="1:7" x14ac:dyDescent="0.25">
      <c r="A2" t="s">
        <v>17</v>
      </c>
      <c r="B2" t="s">
        <v>18</v>
      </c>
      <c r="C2" t="s">
        <v>184</v>
      </c>
      <c r="D2" t="s">
        <v>706</v>
      </c>
      <c r="E2" s="15">
        <v>11550.8722277</v>
      </c>
      <c r="F2" s="18">
        <v>38739.130434782608</v>
      </c>
      <c r="G2" s="19">
        <f>ROUND(((F2-E2)/F2), 4)</f>
        <v>0.70179999999999998</v>
      </c>
    </row>
    <row r="3" spans="1:7" x14ac:dyDescent="0.25">
      <c r="A3" t="s">
        <v>109</v>
      </c>
      <c r="B3" t="s">
        <v>110</v>
      </c>
      <c r="C3" t="s">
        <v>185</v>
      </c>
      <c r="D3" t="s">
        <v>706</v>
      </c>
      <c r="E3" s="15">
        <v>13699.220941699999</v>
      </c>
      <c r="F3" s="18">
        <v>46956.521739130432</v>
      </c>
      <c r="G3" s="19">
        <f>ROUND(((F3-E3)/F3), 4)</f>
        <v>0.70830000000000004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3D159-7610-47A2-B6E6-4BC8DBFBC056}">
  <dimension ref="A1:F16"/>
  <sheetViews>
    <sheetView tabSelected="1" workbookViewId="0">
      <selection activeCell="E2" sqref="E2"/>
    </sheetView>
  </sheetViews>
  <sheetFormatPr defaultRowHeight="15" x14ac:dyDescent="0.25"/>
  <cols>
    <col min="1" max="1" width="17.140625" customWidth="1"/>
    <col min="2" max="2" width="53" bestFit="1" customWidth="1"/>
    <col min="3" max="3" width="12.5703125" bestFit="1" customWidth="1"/>
    <col min="5" max="5" width="12.85546875" customWidth="1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263</v>
      </c>
      <c r="E1" s="3" t="s">
        <v>205</v>
      </c>
      <c r="F1" s="3" t="s">
        <v>270</v>
      </c>
    </row>
    <row r="2" spans="1:6" x14ac:dyDescent="0.25">
      <c r="A2" t="s">
        <v>633</v>
      </c>
      <c r="B2" t="s">
        <v>634</v>
      </c>
      <c r="C2" s="9">
        <v>43788</v>
      </c>
      <c r="D2" t="s">
        <v>265</v>
      </c>
      <c r="E2">
        <v>300</v>
      </c>
      <c r="F2">
        <v>3</v>
      </c>
    </row>
    <row r="3" spans="1:6" x14ac:dyDescent="0.25">
      <c r="A3" t="s">
        <v>635</v>
      </c>
      <c r="B3" t="s">
        <v>636</v>
      </c>
      <c r="C3" s="9">
        <v>43788</v>
      </c>
      <c r="D3" t="s">
        <v>265</v>
      </c>
      <c r="E3">
        <v>350</v>
      </c>
      <c r="F3">
        <v>3</v>
      </c>
    </row>
    <row r="4" spans="1:6" x14ac:dyDescent="0.25">
      <c r="A4" t="s">
        <v>637</v>
      </c>
      <c r="B4" t="s">
        <v>638</v>
      </c>
      <c r="C4" s="9">
        <v>41483</v>
      </c>
      <c r="D4" t="s">
        <v>265</v>
      </c>
      <c r="E4">
        <v>400</v>
      </c>
      <c r="F4">
        <v>3</v>
      </c>
    </row>
    <row r="5" spans="1:6" x14ac:dyDescent="0.25">
      <c r="A5" t="s">
        <v>639</v>
      </c>
      <c r="B5" t="s">
        <v>640</v>
      </c>
      <c r="C5" s="9">
        <v>51617</v>
      </c>
      <c r="D5" t="s">
        <v>424</v>
      </c>
      <c r="E5">
        <v>200</v>
      </c>
      <c r="F5">
        <v>3</v>
      </c>
    </row>
    <row r="6" spans="1:6" x14ac:dyDescent="0.25">
      <c r="A6" t="s">
        <v>641</v>
      </c>
      <c r="B6" t="s">
        <v>642</v>
      </c>
      <c r="C6" s="9">
        <v>51617</v>
      </c>
      <c r="D6" t="s">
        <v>424</v>
      </c>
      <c r="E6">
        <v>225</v>
      </c>
      <c r="F6">
        <v>3</v>
      </c>
    </row>
    <row r="7" spans="1:6" x14ac:dyDescent="0.25">
      <c r="A7" t="s">
        <v>643</v>
      </c>
      <c r="B7" t="s">
        <v>644</v>
      </c>
      <c r="C7" s="9">
        <v>51617</v>
      </c>
      <c r="D7" t="s">
        <v>424</v>
      </c>
      <c r="E7">
        <v>250</v>
      </c>
      <c r="F7">
        <v>3</v>
      </c>
    </row>
    <row r="8" spans="1:6" x14ac:dyDescent="0.25">
      <c r="A8" t="s">
        <v>645</v>
      </c>
      <c r="B8" t="s">
        <v>646</v>
      </c>
      <c r="C8" s="9">
        <v>51617</v>
      </c>
      <c r="D8" t="s">
        <v>424</v>
      </c>
      <c r="E8">
        <v>300</v>
      </c>
      <c r="F8">
        <v>3</v>
      </c>
    </row>
    <row r="9" spans="1:6" x14ac:dyDescent="0.25">
      <c r="A9" t="s">
        <v>647</v>
      </c>
      <c r="B9" t="s">
        <v>648</v>
      </c>
      <c r="C9" s="9">
        <v>51617</v>
      </c>
      <c r="D9" t="s">
        <v>424</v>
      </c>
      <c r="E9">
        <v>350</v>
      </c>
      <c r="F9">
        <v>3</v>
      </c>
    </row>
    <row r="10" spans="1:6" x14ac:dyDescent="0.25">
      <c r="A10" t="s">
        <v>649</v>
      </c>
      <c r="B10" t="s">
        <v>650</v>
      </c>
      <c r="C10" s="9">
        <v>51617</v>
      </c>
      <c r="D10" t="s">
        <v>424</v>
      </c>
      <c r="E10">
        <v>400</v>
      </c>
      <c r="F10">
        <v>3</v>
      </c>
    </row>
    <row r="11" spans="1:6" x14ac:dyDescent="0.25">
      <c r="A11" t="s">
        <v>651</v>
      </c>
      <c r="B11" t="s">
        <v>652</v>
      </c>
      <c r="C11" s="9">
        <v>67387</v>
      </c>
      <c r="D11" t="s">
        <v>604</v>
      </c>
      <c r="E11">
        <v>200</v>
      </c>
      <c r="F11">
        <v>3</v>
      </c>
    </row>
    <row r="12" spans="1:6" x14ac:dyDescent="0.25">
      <c r="A12" t="s">
        <v>653</v>
      </c>
      <c r="B12" t="s">
        <v>654</v>
      </c>
      <c r="C12" s="9">
        <v>67387</v>
      </c>
      <c r="D12" t="s">
        <v>604</v>
      </c>
      <c r="E12">
        <v>225</v>
      </c>
      <c r="F12">
        <v>3</v>
      </c>
    </row>
    <row r="13" spans="1:6" x14ac:dyDescent="0.25">
      <c r="A13" t="s">
        <v>655</v>
      </c>
      <c r="B13" t="s">
        <v>656</v>
      </c>
      <c r="C13" s="9">
        <v>67387</v>
      </c>
      <c r="D13" t="s">
        <v>604</v>
      </c>
      <c r="E13">
        <v>250</v>
      </c>
      <c r="F13">
        <v>3</v>
      </c>
    </row>
    <row r="14" spans="1:6" x14ac:dyDescent="0.25">
      <c r="A14" t="s">
        <v>657</v>
      </c>
      <c r="B14" t="s">
        <v>658</v>
      </c>
      <c r="C14" s="9">
        <v>67387</v>
      </c>
      <c r="D14" t="s">
        <v>604</v>
      </c>
      <c r="E14">
        <v>300</v>
      </c>
      <c r="F14">
        <v>3</v>
      </c>
    </row>
    <row r="15" spans="1:6" x14ac:dyDescent="0.25">
      <c r="A15" t="s">
        <v>659</v>
      </c>
      <c r="B15" t="s">
        <v>648</v>
      </c>
      <c r="C15" s="9">
        <v>67387</v>
      </c>
      <c r="D15" t="s">
        <v>604</v>
      </c>
      <c r="E15">
        <v>350</v>
      </c>
      <c r="F15">
        <v>3</v>
      </c>
    </row>
    <row r="16" spans="1:6" x14ac:dyDescent="0.25">
      <c r="A16" t="s">
        <v>660</v>
      </c>
      <c r="B16" t="s">
        <v>661</v>
      </c>
      <c r="C16" s="9">
        <v>67387</v>
      </c>
      <c r="D16" t="s">
        <v>604</v>
      </c>
      <c r="E16">
        <v>400</v>
      </c>
      <c r="F16">
        <v>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586A9-3200-4887-94DE-CCF39E21CB1C}">
  <dimension ref="A1:C5"/>
  <sheetViews>
    <sheetView workbookViewId="0">
      <selection activeCell="D21" sqref="D21"/>
    </sheetView>
  </sheetViews>
  <sheetFormatPr defaultRowHeight="15" x14ac:dyDescent="0.25"/>
  <cols>
    <col min="1" max="1" width="14.140625" bestFit="1" customWidth="1"/>
    <col min="2" max="2" width="73.140625" bestFit="1" customWidth="1"/>
    <col min="3" max="3" width="11.42578125" style="22" customWidth="1"/>
  </cols>
  <sheetData>
    <row r="1" spans="1:3" s="3" customFormat="1" x14ac:dyDescent="0.25">
      <c r="A1" s="3" t="s">
        <v>0</v>
      </c>
      <c r="B1" s="3" t="s">
        <v>1</v>
      </c>
      <c r="C1" s="21" t="s">
        <v>2</v>
      </c>
    </row>
    <row r="2" spans="1:3" x14ac:dyDescent="0.25">
      <c r="A2" t="s">
        <v>750</v>
      </c>
      <c r="B2" t="s">
        <v>751</v>
      </c>
      <c r="C2" s="20">
        <v>8841</v>
      </c>
    </row>
    <row r="3" spans="1:3" x14ac:dyDescent="0.25">
      <c r="A3" t="s">
        <v>752</v>
      </c>
      <c r="B3" t="s">
        <v>753</v>
      </c>
      <c r="C3" s="22">
        <v>12406</v>
      </c>
    </row>
    <row r="4" spans="1:3" x14ac:dyDescent="0.25">
      <c r="A4" t="s">
        <v>754</v>
      </c>
      <c r="B4" t="s">
        <v>757</v>
      </c>
      <c r="C4" s="22">
        <v>9150</v>
      </c>
    </row>
    <row r="5" spans="1:3" x14ac:dyDescent="0.25">
      <c r="A5" t="s">
        <v>755</v>
      </c>
      <c r="B5" t="s">
        <v>756</v>
      </c>
      <c r="C5" s="22">
        <v>24628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ECFA3-9985-4F85-AADB-8BFBCABD988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45C86-8F36-4726-BB8C-72524168E246}">
  <dimension ref="A1:F10"/>
  <sheetViews>
    <sheetView workbookViewId="0">
      <selection activeCell="E2" sqref="E2"/>
    </sheetView>
  </sheetViews>
  <sheetFormatPr defaultRowHeight="15" x14ac:dyDescent="0.25"/>
  <cols>
    <col min="1" max="1" width="15" bestFit="1" customWidth="1"/>
    <col min="2" max="2" width="54.42578125" bestFit="1" customWidth="1"/>
    <col min="3" max="3" width="12.5703125" bestFit="1" customWidth="1"/>
    <col min="5" max="5" width="11.140625" bestFit="1" customWidth="1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263</v>
      </c>
      <c r="E1" s="3" t="s">
        <v>205</v>
      </c>
      <c r="F1" s="3" t="s">
        <v>270</v>
      </c>
    </row>
    <row r="2" spans="1:6" x14ac:dyDescent="0.25">
      <c r="A2" t="s">
        <v>662</v>
      </c>
      <c r="B2" t="s">
        <v>663</v>
      </c>
      <c r="C2" s="9">
        <v>51020</v>
      </c>
      <c r="D2" t="s">
        <v>265</v>
      </c>
      <c r="E2">
        <v>400</v>
      </c>
      <c r="F2">
        <v>3</v>
      </c>
    </row>
    <row r="3" spans="1:6" x14ac:dyDescent="0.25">
      <c r="A3" t="s">
        <v>664</v>
      </c>
      <c r="B3" t="s">
        <v>665</v>
      </c>
      <c r="C3" s="9">
        <v>51020</v>
      </c>
      <c r="D3" t="s">
        <v>265</v>
      </c>
      <c r="E3">
        <v>500</v>
      </c>
      <c r="F3">
        <v>3</v>
      </c>
    </row>
    <row r="4" spans="1:6" x14ac:dyDescent="0.25">
      <c r="A4" t="s">
        <v>666</v>
      </c>
      <c r="B4" t="s">
        <v>667</v>
      </c>
      <c r="C4" s="9">
        <v>51020</v>
      </c>
      <c r="D4" t="s">
        <v>265</v>
      </c>
      <c r="E4">
        <v>600</v>
      </c>
      <c r="F4">
        <v>3</v>
      </c>
    </row>
    <row r="5" spans="1:6" x14ac:dyDescent="0.25">
      <c r="A5" t="s">
        <v>668</v>
      </c>
      <c r="B5" t="s">
        <v>669</v>
      </c>
      <c r="C5" s="9">
        <v>77726</v>
      </c>
      <c r="D5" t="s">
        <v>424</v>
      </c>
      <c r="E5">
        <v>400</v>
      </c>
      <c r="F5">
        <v>3</v>
      </c>
    </row>
    <row r="6" spans="1:6" x14ac:dyDescent="0.25">
      <c r="A6" t="s">
        <v>670</v>
      </c>
      <c r="B6" t="s">
        <v>671</v>
      </c>
      <c r="C6" s="9">
        <v>77726</v>
      </c>
      <c r="D6" t="s">
        <v>424</v>
      </c>
      <c r="E6">
        <v>500</v>
      </c>
      <c r="F6">
        <v>3</v>
      </c>
    </row>
    <row r="7" spans="1:6" x14ac:dyDescent="0.25">
      <c r="A7" t="s">
        <v>672</v>
      </c>
      <c r="B7" t="s">
        <v>673</v>
      </c>
      <c r="C7" s="9">
        <v>77726</v>
      </c>
      <c r="D7" t="s">
        <v>424</v>
      </c>
      <c r="E7">
        <v>600</v>
      </c>
      <c r="F7">
        <v>3</v>
      </c>
    </row>
    <row r="8" spans="1:6" x14ac:dyDescent="0.25">
      <c r="A8" t="s">
        <v>674</v>
      </c>
      <c r="B8" t="s">
        <v>650</v>
      </c>
      <c r="C8" s="9">
        <v>85164</v>
      </c>
      <c r="D8" t="s">
        <v>604</v>
      </c>
      <c r="E8">
        <v>400</v>
      </c>
      <c r="F8">
        <v>3</v>
      </c>
    </row>
    <row r="9" spans="1:6" x14ac:dyDescent="0.25">
      <c r="A9" t="s">
        <v>675</v>
      </c>
      <c r="B9" t="s">
        <v>676</v>
      </c>
      <c r="C9" s="9">
        <v>85164</v>
      </c>
      <c r="D9" t="s">
        <v>604</v>
      </c>
      <c r="E9">
        <v>500</v>
      </c>
      <c r="F9">
        <v>3</v>
      </c>
    </row>
    <row r="10" spans="1:6" x14ac:dyDescent="0.25">
      <c r="A10" t="s">
        <v>677</v>
      </c>
      <c r="B10" t="s">
        <v>678</v>
      </c>
      <c r="C10" s="9">
        <v>85164</v>
      </c>
      <c r="D10" t="s">
        <v>604</v>
      </c>
      <c r="E10">
        <v>600</v>
      </c>
      <c r="F10">
        <v>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Estructura</vt:lpstr>
      <vt:lpstr>1600 AMP</vt:lpstr>
      <vt:lpstr>Lista</vt:lpstr>
      <vt:lpstr>Transitorios</vt:lpstr>
      <vt:lpstr>Interruptores IZMX</vt:lpstr>
      <vt:lpstr>2000 AMP</vt:lpstr>
      <vt:lpstr>Puertas</vt:lpstr>
      <vt:lpstr>3200 AMP</vt:lpstr>
      <vt:lpstr>Derivados</vt:lpstr>
      <vt:lpstr>Tapas</vt:lpstr>
      <vt:lpstr>Kits</vt:lpstr>
      <vt:lpstr>BZM</vt:lpstr>
      <vt:lpstr>PDG</vt:lpstr>
      <vt:lpstr>J</vt:lpstr>
      <vt:lpstr>Conectores</vt:lpstr>
      <vt:lpstr>1200 AMP</vt:lpstr>
      <vt:lpstr>800 AMP</vt:lpstr>
      <vt:lpstr>600 AMP</vt:lpstr>
      <vt:lpstr>F</vt:lpstr>
      <vt:lpstr>SV</vt:lpstr>
      <vt:lpstr>K</vt:lpstr>
      <vt:lpstr>Medidores</vt:lpstr>
      <vt:lpstr>Sheet1</vt:lpstr>
      <vt:lpstr>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Castillo, Arely (PROMERITUM)</dc:creator>
  <cp:lastModifiedBy>Castillo, Arely (PROMERITUM)</cp:lastModifiedBy>
  <dcterms:created xsi:type="dcterms:W3CDTF">2026-07-21T15:33:26Z</dcterms:created>
  <dcterms:modified xsi:type="dcterms:W3CDTF">2026-10-13T15:39:30Z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f418558-72e5-4d8e-958f-cfe0e73e210d_Enabled">
    <vt:lpwstr>true</vt:lpwstr>
  </property>
  <property fmtid="{D5CDD505-2E9C-101B-9397-08002B2CF9AE}" pid="3" name="MSIP_Label_ff418558-72e5-4d8e-958f-cfe0e73e210d_SetDate">
    <vt:lpwstr>2026-07-21T15:58:28Z</vt:lpwstr>
  </property>
  <property fmtid="{D5CDD505-2E9C-101B-9397-08002B2CF9AE}" pid="4" name="MSIP_Label_ff418558-72e5-4d8e-958f-cfe0e73e210d_Method">
    <vt:lpwstr>Standard</vt:lpwstr>
  </property>
  <property fmtid="{D5CDD505-2E9C-101B-9397-08002B2CF9AE}" pid="5" name="MSIP_Label_ff418558-72e5-4d8e-958f-cfe0e73e210d_Name">
    <vt:lpwstr>Eaton Internal Only (IP2)</vt:lpwstr>
  </property>
  <property fmtid="{D5CDD505-2E9C-101B-9397-08002B2CF9AE}" pid="6" name="MSIP_Label_ff418558-72e5-4d8e-958f-cfe0e73e210d_SiteId">
    <vt:lpwstr>d6525c95-b906-431a-b926-e9b51ba43cc4</vt:lpwstr>
  </property>
  <property fmtid="{D5CDD505-2E9C-101B-9397-08002B2CF9AE}" pid="7" name="MSIP_Label_ff418558-72e5-4d8e-958f-cfe0e73e210d_ActionId">
    <vt:lpwstr>6dce73e8-ecd5-4fed-bfe1-1b663c5cf09f</vt:lpwstr>
  </property>
  <property fmtid="{D5CDD505-2E9C-101B-9397-08002B2CF9AE}" pid="8" name="MSIP_Label_ff418558-72e5-4d8e-958f-cfe0e73e210d_ContentBits">
    <vt:lpwstr>0</vt:lpwstr>
  </property>
  <property fmtid="{D5CDD505-2E9C-101B-9397-08002B2CF9AE}" pid="9" name="MSIP_Label_ff418558-72e5-4d8e-958f-cfe0e73e210d_Tag">
    <vt:lpwstr>10, 3, 0, 1</vt:lpwstr>
  </property>
</Properties>
</file>